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xqsme\workspace\bootdotdev\geography_quiz\sources\"/>
    </mc:Choice>
  </mc:AlternateContent>
  <xr:revisionPtr revIDLastSave="0" documentId="13_ncr:1_{65337B0D-E7D2-4DEE-9637-7FB931D83957}" xr6:coauthVersionLast="47" xr6:coauthVersionMax="47" xr10:uidLastSave="{00000000-0000-0000-0000-000000000000}"/>
  <bookViews>
    <workbookView xWindow="-120" yWindow="-120" windowWidth="38640" windowHeight="21120" xr2:uid="{89D391DB-B8B7-4455-8CF3-B5826679EB4E}"/>
  </bookViews>
  <sheets>
    <sheet name="countries" sheetId="1" r:id="rId1"/>
  </sheets>
  <definedNames>
    <definedName name="_xlnm._FilterDatabase" localSheetId="0" hidden="1">countries!$A$1:$P$251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M81" i="1"/>
  <c r="L217" i="1"/>
  <c r="J10" i="1"/>
  <c r="H10" i="1"/>
  <c r="K29" i="1"/>
  <c r="H29" i="1"/>
  <c r="J32" i="1"/>
  <c r="I32" i="1"/>
  <c r="H32" i="1"/>
  <c r="H99" i="1"/>
  <c r="K99" i="1"/>
  <c r="I99" i="1"/>
  <c r="J99" i="1"/>
  <c r="K34" i="1"/>
  <c r="K188" i="1"/>
  <c r="H227" i="1"/>
  <c r="H240" i="1"/>
</calcChain>
</file>

<file path=xl/sharedStrings.xml><?xml version="1.0" encoding="utf-8"?>
<sst xmlns="http://schemas.openxmlformats.org/spreadsheetml/2006/main" count="2251" uniqueCount="1456">
  <si>
    <t>name</t>
  </si>
  <si>
    <t>iso3</t>
  </si>
  <si>
    <t>iso2</t>
  </si>
  <si>
    <t>capital</t>
  </si>
  <si>
    <t>population</t>
  </si>
  <si>
    <t>region</t>
  </si>
  <si>
    <t>subregion</t>
  </si>
  <si>
    <t>area_sq_km</t>
  </si>
  <si>
    <t>latitude</t>
  </si>
  <si>
    <t>longitude</t>
  </si>
  <si>
    <t>gdp</t>
  </si>
  <si>
    <t>Afghanistan</t>
  </si>
  <si>
    <t>AFG</t>
  </si>
  <si>
    <t>AF</t>
  </si>
  <si>
    <t>Kabul</t>
  </si>
  <si>
    <t>Asia</t>
  </si>
  <si>
    <t>Southern Asia</t>
  </si>
  <si>
    <t>Afghan</t>
  </si>
  <si>
    <t>ALA</t>
  </si>
  <si>
    <t>AX</t>
  </si>
  <si>
    <t>Mariehamn</t>
  </si>
  <si>
    <t>Europe</t>
  </si>
  <si>
    <t>Northern Europe</t>
  </si>
  <si>
    <t>Albania</t>
  </si>
  <si>
    <t>ALB</t>
  </si>
  <si>
    <t>AL</t>
  </si>
  <si>
    <t>Tirana</t>
  </si>
  <si>
    <t>Southern Europe</t>
  </si>
  <si>
    <t xml:space="preserve">Albanian </t>
  </si>
  <si>
    <t>Algeria</t>
  </si>
  <si>
    <t>DZA</t>
  </si>
  <si>
    <t>DZ</t>
  </si>
  <si>
    <t>Algiers</t>
  </si>
  <si>
    <t>Africa</t>
  </si>
  <si>
    <t>Northern Africa</t>
  </si>
  <si>
    <t>Algerian</t>
  </si>
  <si>
    <t>American Samoa</t>
  </si>
  <si>
    <t>ASM</t>
  </si>
  <si>
    <t>AS</t>
  </si>
  <si>
    <t>Pago Pago</t>
  </si>
  <si>
    <t>Oceania</t>
  </si>
  <si>
    <t>Polynesia</t>
  </si>
  <si>
    <t>American Samoan</t>
  </si>
  <si>
    <t>Andorra</t>
  </si>
  <si>
    <t>AND</t>
  </si>
  <si>
    <t>AD</t>
  </si>
  <si>
    <t>Andorra la Vella</t>
  </si>
  <si>
    <t>Andorran</t>
  </si>
  <si>
    <t>Angola</t>
  </si>
  <si>
    <t>AGO</t>
  </si>
  <si>
    <t>AO</t>
  </si>
  <si>
    <t>Luanda</t>
  </si>
  <si>
    <t>Middle Africa</t>
  </si>
  <si>
    <t>Angolan</t>
  </si>
  <si>
    <t>Anguilla</t>
  </si>
  <si>
    <t>AIA</t>
  </si>
  <si>
    <t>AI</t>
  </si>
  <si>
    <t>The Valley</t>
  </si>
  <si>
    <t>Americas</t>
  </si>
  <si>
    <t>Caribbean</t>
  </si>
  <si>
    <t>Anguillan</t>
  </si>
  <si>
    <t>Antarctica</t>
  </si>
  <si>
    <t>ATA</t>
  </si>
  <si>
    <t>AQ</t>
  </si>
  <si>
    <t>Polar</t>
  </si>
  <si>
    <t>Antarctic</t>
  </si>
  <si>
    <t>Antigua and Barbuda</t>
  </si>
  <si>
    <t>ATG</t>
  </si>
  <si>
    <t>AG</t>
  </si>
  <si>
    <t>St. John's</t>
  </si>
  <si>
    <t>Antiguan or Barbudan</t>
  </si>
  <si>
    <t>Argentina</t>
  </si>
  <si>
    <t>ARG</t>
  </si>
  <si>
    <t>AR</t>
  </si>
  <si>
    <t>Buenos Aires</t>
  </si>
  <si>
    <t>South America</t>
  </si>
  <si>
    <t>Argentine</t>
  </si>
  <si>
    <t>Armenia</t>
  </si>
  <si>
    <t>ARM</t>
  </si>
  <si>
    <t>AM</t>
  </si>
  <si>
    <t>Yerevan</t>
  </si>
  <si>
    <t>Western Asia</t>
  </si>
  <si>
    <t>Armenian</t>
  </si>
  <si>
    <t>Aruba</t>
  </si>
  <si>
    <t>ABW</t>
  </si>
  <si>
    <t>AW</t>
  </si>
  <si>
    <t>Oranjestad</t>
  </si>
  <si>
    <t>Aruban</t>
  </si>
  <si>
    <t>Australia</t>
  </si>
  <si>
    <t>AUS</t>
  </si>
  <si>
    <t>AU</t>
  </si>
  <si>
    <t>Canberra</t>
  </si>
  <si>
    <t>Australia and New Zealand</t>
  </si>
  <si>
    <t>Australian</t>
  </si>
  <si>
    <t>Austria</t>
  </si>
  <si>
    <t>AUT</t>
  </si>
  <si>
    <t>AT</t>
  </si>
  <si>
    <t>Vienna</t>
  </si>
  <si>
    <t>Western Europe</t>
  </si>
  <si>
    <t>Austrian</t>
  </si>
  <si>
    <t>Azerbaijan</t>
  </si>
  <si>
    <t>AZE</t>
  </si>
  <si>
    <t>AZ</t>
  </si>
  <si>
    <t>Baku</t>
  </si>
  <si>
    <t>Azerbaijani</t>
  </si>
  <si>
    <t>Bahrain</t>
  </si>
  <si>
    <t>BHR</t>
  </si>
  <si>
    <t>BH</t>
  </si>
  <si>
    <t>Manama</t>
  </si>
  <si>
    <t>Bahraini</t>
  </si>
  <si>
    <t>Bangladesh</t>
  </si>
  <si>
    <t>BGD</t>
  </si>
  <si>
    <t>BD</t>
  </si>
  <si>
    <t>Dhaka</t>
  </si>
  <si>
    <t>Bangladeshi</t>
  </si>
  <si>
    <t>Barbados</t>
  </si>
  <si>
    <t>BRB</t>
  </si>
  <si>
    <t>BB</t>
  </si>
  <si>
    <t>Bridgetown</t>
  </si>
  <si>
    <t>Barbadian</t>
  </si>
  <si>
    <t>Belarus</t>
  </si>
  <si>
    <t>BLR</t>
  </si>
  <si>
    <t>BY</t>
  </si>
  <si>
    <t>Minsk</t>
  </si>
  <si>
    <t>Eastern Europe</t>
  </si>
  <si>
    <t>Belarusian</t>
  </si>
  <si>
    <t>Belgium</t>
  </si>
  <si>
    <t>BEL</t>
  </si>
  <si>
    <t>BE</t>
  </si>
  <si>
    <t>Brussels</t>
  </si>
  <si>
    <t>Belgian</t>
  </si>
  <si>
    <t>Belize</t>
  </si>
  <si>
    <t>BLZ</t>
  </si>
  <si>
    <t>BZ</t>
  </si>
  <si>
    <t>Belmopan</t>
  </si>
  <si>
    <t>Central America</t>
  </si>
  <si>
    <t>Belizean</t>
  </si>
  <si>
    <t>Benin</t>
  </si>
  <si>
    <t>BEN</t>
  </si>
  <si>
    <t>BJ</t>
  </si>
  <si>
    <t>Porto-Novo</t>
  </si>
  <si>
    <t>Western Africa</t>
  </si>
  <si>
    <t>Beninese</t>
  </si>
  <si>
    <t>Bermuda</t>
  </si>
  <si>
    <t>BMU</t>
  </si>
  <si>
    <t>BM</t>
  </si>
  <si>
    <t>Hamilton</t>
  </si>
  <si>
    <t>Northern America</t>
  </si>
  <si>
    <t>Bermudian</t>
  </si>
  <si>
    <t>Bhutan</t>
  </si>
  <si>
    <t>BTN</t>
  </si>
  <si>
    <t>BT</t>
  </si>
  <si>
    <t>Thimphu</t>
  </si>
  <si>
    <t>Bhutanese</t>
  </si>
  <si>
    <t>Bolivia</t>
  </si>
  <si>
    <t>BOL</t>
  </si>
  <si>
    <t>BO</t>
  </si>
  <si>
    <t>Sucre</t>
  </si>
  <si>
    <t>Bolivian</t>
  </si>
  <si>
    <t>Bosnia and Herzegovina</t>
  </si>
  <si>
    <t>BIH</t>
  </si>
  <si>
    <t>BA</t>
  </si>
  <si>
    <t>Sarajevo</t>
  </si>
  <si>
    <t>Bosnian or Herzegovinian</t>
  </si>
  <si>
    <t>Botswana</t>
  </si>
  <si>
    <t>BWA</t>
  </si>
  <si>
    <t>BW</t>
  </si>
  <si>
    <t>Gaborone</t>
  </si>
  <si>
    <t>Southern Africa</t>
  </si>
  <si>
    <t>Bouvet Island</t>
  </si>
  <si>
    <t>BVT</t>
  </si>
  <si>
    <t>BV</t>
  </si>
  <si>
    <t>Brazil</t>
  </si>
  <si>
    <t>BRA</t>
  </si>
  <si>
    <t>BR</t>
  </si>
  <si>
    <t>Brazilian</t>
  </si>
  <si>
    <t>British Indian Ocean Territory</t>
  </si>
  <si>
    <t>IOT</t>
  </si>
  <si>
    <t>IO</t>
  </si>
  <si>
    <t>Diego Garcia</t>
  </si>
  <si>
    <t>Eastern Africa</t>
  </si>
  <si>
    <t>Brunei</t>
  </si>
  <si>
    <t>BRN</t>
  </si>
  <si>
    <t>BN</t>
  </si>
  <si>
    <t>Bandar Seri Begawan</t>
  </si>
  <si>
    <t>South-Eastern Asia</t>
  </si>
  <si>
    <t>Bruneian</t>
  </si>
  <si>
    <t>Bulgaria</t>
  </si>
  <si>
    <t>BGR</t>
  </si>
  <si>
    <t>BG</t>
  </si>
  <si>
    <t>Sofia</t>
  </si>
  <si>
    <t>Bulgarian</t>
  </si>
  <si>
    <t>Burkina Faso</t>
  </si>
  <si>
    <t>BFA</t>
  </si>
  <si>
    <t>BF</t>
  </si>
  <si>
    <t>Ouagadougou</t>
  </si>
  <si>
    <t>Burundi</t>
  </si>
  <si>
    <t>BDI</t>
  </si>
  <si>
    <t>BI</t>
  </si>
  <si>
    <t>Bujumbura</t>
  </si>
  <si>
    <t>Burundian</t>
  </si>
  <si>
    <t>Cambodia</t>
  </si>
  <si>
    <t>KHM</t>
  </si>
  <si>
    <t>KH</t>
  </si>
  <si>
    <t>Phnom Penh</t>
  </si>
  <si>
    <t>Cambodian</t>
  </si>
  <si>
    <t>Cameroon</t>
  </si>
  <si>
    <t>CMR</t>
  </si>
  <si>
    <t>CM</t>
  </si>
  <si>
    <t>Cameroonian</t>
  </si>
  <si>
    <t>Canada</t>
  </si>
  <si>
    <t>CAN</t>
  </si>
  <si>
    <t>CA</t>
  </si>
  <si>
    <t>Ottawa</t>
  </si>
  <si>
    <t>Canadian</t>
  </si>
  <si>
    <t>Cape Verde</t>
  </si>
  <si>
    <t>CPV</t>
  </si>
  <si>
    <t>CV</t>
  </si>
  <si>
    <t>Praia</t>
  </si>
  <si>
    <t>Cayman Islands</t>
  </si>
  <si>
    <t>CYM</t>
  </si>
  <si>
    <t>KY</t>
  </si>
  <si>
    <t>George Town</t>
  </si>
  <si>
    <t>Caymanian</t>
  </si>
  <si>
    <t>Central African Republic</t>
  </si>
  <si>
    <t>CAF</t>
  </si>
  <si>
    <t>CF</t>
  </si>
  <si>
    <t>Bangui</t>
  </si>
  <si>
    <t>Central African</t>
  </si>
  <si>
    <t>Chad</t>
  </si>
  <si>
    <t>TCD</t>
  </si>
  <si>
    <t>TD</t>
  </si>
  <si>
    <t>N'Djamena</t>
  </si>
  <si>
    <t>Chadian</t>
  </si>
  <si>
    <t>Chile</t>
  </si>
  <si>
    <t>CHL</t>
  </si>
  <si>
    <t>CL</t>
  </si>
  <si>
    <t>Santiago</t>
  </si>
  <si>
    <t>Chilean</t>
  </si>
  <si>
    <t>China</t>
  </si>
  <si>
    <t>CHN</t>
  </si>
  <si>
    <t>CN</t>
  </si>
  <si>
    <t>Beijing</t>
  </si>
  <si>
    <t>Eastern Asia</t>
  </si>
  <si>
    <t>Chinese</t>
  </si>
  <si>
    <t>Christmas Island</t>
  </si>
  <si>
    <t>CXR</t>
  </si>
  <si>
    <t>CX</t>
  </si>
  <si>
    <t>Flying Fish Cove</t>
  </si>
  <si>
    <t>Cocos (Keeling) Islands</t>
  </si>
  <si>
    <t>CCK</t>
  </si>
  <si>
    <t>CC</t>
  </si>
  <si>
    <t>West Island</t>
  </si>
  <si>
    <t>Colombia</t>
  </si>
  <si>
    <t>COL</t>
  </si>
  <si>
    <t>CO</t>
  </si>
  <si>
    <t>Bogotá</t>
  </si>
  <si>
    <t>Colombian</t>
  </si>
  <si>
    <t>Comoros</t>
  </si>
  <si>
    <t>COM</t>
  </si>
  <si>
    <t>KM</t>
  </si>
  <si>
    <t>Moroni</t>
  </si>
  <si>
    <t>Congo</t>
  </si>
  <si>
    <t>COG</t>
  </si>
  <si>
    <t>CG</t>
  </si>
  <si>
    <t>Brazzaville</t>
  </si>
  <si>
    <t>Congolese</t>
  </si>
  <si>
    <t>Cook Islands</t>
  </si>
  <si>
    <t>COK</t>
  </si>
  <si>
    <t>CK</t>
  </si>
  <si>
    <t>Avarua</t>
  </si>
  <si>
    <t>Costa Rica</t>
  </si>
  <si>
    <t>CRI</t>
  </si>
  <si>
    <t>CR</t>
  </si>
  <si>
    <t>Costa Rican</t>
  </si>
  <si>
    <t>Croatia</t>
  </si>
  <si>
    <t>HRV</t>
  </si>
  <si>
    <t>HR</t>
  </si>
  <si>
    <t>Zagreb</t>
  </si>
  <si>
    <t>Croatian</t>
  </si>
  <si>
    <t>Cuba</t>
  </si>
  <si>
    <t>CUB</t>
  </si>
  <si>
    <t>CU</t>
  </si>
  <si>
    <t>Havana</t>
  </si>
  <si>
    <t>Cuban</t>
  </si>
  <si>
    <t>Curaçao</t>
  </si>
  <si>
    <t>CUW</t>
  </si>
  <si>
    <t>CW</t>
  </si>
  <si>
    <t>Willemstad</t>
  </si>
  <si>
    <t>Cyprus</t>
  </si>
  <si>
    <t>CYP</t>
  </si>
  <si>
    <t>CY</t>
  </si>
  <si>
    <t>Nicosia</t>
  </si>
  <si>
    <t>Cypriot</t>
  </si>
  <si>
    <t>Czech Republic</t>
  </si>
  <si>
    <t>CZE</t>
  </si>
  <si>
    <t>CZ</t>
  </si>
  <si>
    <t>Prague</t>
  </si>
  <si>
    <t>Czech</t>
  </si>
  <si>
    <t>Democratic Republic of the Congo</t>
  </si>
  <si>
    <t>COD</t>
  </si>
  <si>
    <t>CD</t>
  </si>
  <si>
    <t>Kinshasa</t>
  </si>
  <si>
    <t>Denmark</t>
  </si>
  <si>
    <t>DNK</t>
  </si>
  <si>
    <t>DK</t>
  </si>
  <si>
    <t>Copenhagen</t>
  </si>
  <si>
    <t>Danish</t>
  </si>
  <si>
    <t>Djibouti</t>
  </si>
  <si>
    <t>DJI</t>
  </si>
  <si>
    <t>DJ</t>
  </si>
  <si>
    <t>Djiboutian</t>
  </si>
  <si>
    <t>Dominica</t>
  </si>
  <si>
    <t>DMA</t>
  </si>
  <si>
    <t>DM</t>
  </si>
  <si>
    <t>Roseau</t>
  </si>
  <si>
    <t>Dominican</t>
  </si>
  <si>
    <t>Dominican Republic</t>
  </si>
  <si>
    <t>DOM</t>
  </si>
  <si>
    <t>DO</t>
  </si>
  <si>
    <t>Santo Domingo</t>
  </si>
  <si>
    <t>Ecuador</t>
  </si>
  <si>
    <t>ECU</t>
  </si>
  <si>
    <t>EC</t>
  </si>
  <si>
    <t>Quito</t>
  </si>
  <si>
    <t>Ecuadorian</t>
  </si>
  <si>
    <t>Egypt</t>
  </si>
  <si>
    <t>EGY</t>
  </si>
  <si>
    <t>EG</t>
  </si>
  <si>
    <t>Cairo</t>
  </si>
  <si>
    <t>Egyptian</t>
  </si>
  <si>
    <t>El Salvador</t>
  </si>
  <si>
    <t>SLV</t>
  </si>
  <si>
    <t>SV</t>
  </si>
  <si>
    <t>San Salvador</t>
  </si>
  <si>
    <t>Salvadoran</t>
  </si>
  <si>
    <t>Equatorial Guinea</t>
  </si>
  <si>
    <t>GNQ</t>
  </si>
  <si>
    <t>GQ</t>
  </si>
  <si>
    <t>Equatorial Guinean</t>
  </si>
  <si>
    <t>Eritrea</t>
  </si>
  <si>
    <t>ERI</t>
  </si>
  <si>
    <t>ER</t>
  </si>
  <si>
    <t>Asmara</t>
  </si>
  <si>
    <t>Eritrean</t>
  </si>
  <si>
    <t>Estonia</t>
  </si>
  <si>
    <t>EST</t>
  </si>
  <si>
    <t>EE</t>
  </si>
  <si>
    <t>Tallinn</t>
  </si>
  <si>
    <t>Estonian</t>
  </si>
  <si>
    <t>Eswatini</t>
  </si>
  <si>
    <t>SWZ</t>
  </si>
  <si>
    <t>SZ</t>
  </si>
  <si>
    <t>Mbabane</t>
  </si>
  <si>
    <t>Swazi</t>
  </si>
  <si>
    <t>Ethiopia</t>
  </si>
  <si>
    <t>ETH</t>
  </si>
  <si>
    <t>ET</t>
  </si>
  <si>
    <t>Addis Ababa</t>
  </si>
  <si>
    <t>Ethiopian</t>
  </si>
  <si>
    <t>Falkland Islands</t>
  </si>
  <si>
    <t>FLK</t>
  </si>
  <si>
    <t>FK</t>
  </si>
  <si>
    <t>Stanley</t>
  </si>
  <si>
    <t>Faroe Islands</t>
  </si>
  <si>
    <t>FRO</t>
  </si>
  <si>
    <t>FO</t>
  </si>
  <si>
    <t>Faroese</t>
  </si>
  <si>
    <t>FJI</t>
  </si>
  <si>
    <t>FJ</t>
  </si>
  <si>
    <t>Suva</t>
  </si>
  <si>
    <t>Melanesia</t>
  </si>
  <si>
    <t>Fijian</t>
  </si>
  <si>
    <t>Finland</t>
  </si>
  <si>
    <t>FIN</t>
  </si>
  <si>
    <t>FI</t>
  </si>
  <si>
    <t>Helsinki</t>
  </si>
  <si>
    <t>Finnish</t>
  </si>
  <si>
    <t>France</t>
  </si>
  <si>
    <t>FRA</t>
  </si>
  <si>
    <t>FR</t>
  </si>
  <si>
    <t>Paris</t>
  </si>
  <si>
    <t>French</t>
  </si>
  <si>
    <t>French Guiana</t>
  </si>
  <si>
    <t>GUF</t>
  </si>
  <si>
    <t>GF</t>
  </si>
  <si>
    <t>Cayenne</t>
  </si>
  <si>
    <t>French Guianese</t>
  </si>
  <si>
    <t>French Polynesia</t>
  </si>
  <si>
    <t>PYF</t>
  </si>
  <si>
    <t>PF</t>
  </si>
  <si>
    <t>Papeete</t>
  </si>
  <si>
    <t>French Southern Territories</t>
  </si>
  <si>
    <t>ATF</t>
  </si>
  <si>
    <t>TF</t>
  </si>
  <si>
    <t>Port-aux-Francais</t>
  </si>
  <si>
    <t>Gabon</t>
  </si>
  <si>
    <t>GAB</t>
  </si>
  <si>
    <t>GA</t>
  </si>
  <si>
    <t>Libreville</t>
  </si>
  <si>
    <t>Gabonese</t>
  </si>
  <si>
    <t>Georgia</t>
  </si>
  <si>
    <t>GEO</t>
  </si>
  <si>
    <t>GE</t>
  </si>
  <si>
    <t>Tbilisi</t>
  </si>
  <si>
    <t>Georgian</t>
  </si>
  <si>
    <t>Germany</t>
  </si>
  <si>
    <t>DEU</t>
  </si>
  <si>
    <t>DE</t>
  </si>
  <si>
    <t>Berlin</t>
  </si>
  <si>
    <t>German</t>
  </si>
  <si>
    <t>Ghana</t>
  </si>
  <si>
    <t>GHA</t>
  </si>
  <si>
    <t>GH</t>
  </si>
  <si>
    <t>Accra</t>
  </si>
  <si>
    <t>Ghanaian</t>
  </si>
  <si>
    <t>Gibraltar</t>
  </si>
  <si>
    <t>GIB</t>
  </si>
  <si>
    <t>GI</t>
  </si>
  <si>
    <t>Greece</t>
  </si>
  <si>
    <t>GRC</t>
  </si>
  <si>
    <t>GR</t>
  </si>
  <si>
    <t>Athens</t>
  </si>
  <si>
    <t>Greenland</t>
  </si>
  <si>
    <t>GRL</t>
  </si>
  <si>
    <t>GL</t>
  </si>
  <si>
    <t>Nuuk</t>
  </si>
  <si>
    <t>Greenlandic</t>
  </si>
  <si>
    <t>Grenada</t>
  </si>
  <si>
    <t>GRD</t>
  </si>
  <si>
    <t>GD</t>
  </si>
  <si>
    <t>St. George's</t>
  </si>
  <si>
    <t>Grenadian</t>
  </si>
  <si>
    <t>Guadeloupe</t>
  </si>
  <si>
    <t>GLP</t>
  </si>
  <si>
    <t>GP</t>
  </si>
  <si>
    <t>Basse-Terre</t>
  </si>
  <si>
    <t>Guam</t>
  </si>
  <si>
    <t>GUM</t>
  </si>
  <si>
    <t>GU</t>
  </si>
  <si>
    <t>Micronesia</t>
  </si>
  <si>
    <t>Guamanian</t>
  </si>
  <si>
    <t>Guatemala</t>
  </si>
  <si>
    <t>GTM</t>
  </si>
  <si>
    <t>GT</t>
  </si>
  <si>
    <t>Guatemala City</t>
  </si>
  <si>
    <t>Guatemalan</t>
  </si>
  <si>
    <t>Guernsey</t>
  </si>
  <si>
    <t>GGY</t>
  </si>
  <si>
    <t>GG</t>
  </si>
  <si>
    <t>Guinea</t>
  </si>
  <si>
    <t>GIN</t>
  </si>
  <si>
    <t>GN</t>
  </si>
  <si>
    <t>Conakry</t>
  </si>
  <si>
    <t>Guinean</t>
  </si>
  <si>
    <t>Guinea-Bissau</t>
  </si>
  <si>
    <t>GNB</t>
  </si>
  <si>
    <t>GW</t>
  </si>
  <si>
    <t>Bissau</t>
  </si>
  <si>
    <t>Bissau-Guinean</t>
  </si>
  <si>
    <t>Guyana</t>
  </si>
  <si>
    <t>GUY</t>
  </si>
  <si>
    <t>GY</t>
  </si>
  <si>
    <t>Georgetown</t>
  </si>
  <si>
    <t>Guyanese</t>
  </si>
  <si>
    <t>Haiti</t>
  </si>
  <si>
    <t>HTI</t>
  </si>
  <si>
    <t>HT</t>
  </si>
  <si>
    <t>Port-au-Prince</t>
  </si>
  <si>
    <t>Haitian</t>
  </si>
  <si>
    <t>Heard Island and McDonald Islands</t>
  </si>
  <si>
    <t>HMD</t>
  </si>
  <si>
    <t>HM</t>
  </si>
  <si>
    <t>Honduras</t>
  </si>
  <si>
    <t>HND</t>
  </si>
  <si>
    <t>HN</t>
  </si>
  <si>
    <t>Tegucigalpa</t>
  </si>
  <si>
    <t>Honduran</t>
  </si>
  <si>
    <t>HKG</t>
  </si>
  <si>
    <t>HK</t>
  </si>
  <si>
    <t>Hong Kong</t>
  </si>
  <si>
    <t>Hungary</t>
  </si>
  <si>
    <t>HUN</t>
  </si>
  <si>
    <t>HU</t>
  </si>
  <si>
    <t>Budapest</t>
  </si>
  <si>
    <t>Hungarian</t>
  </si>
  <si>
    <t>Iceland</t>
  </si>
  <si>
    <t>ISL</t>
  </si>
  <si>
    <t>IS</t>
  </si>
  <si>
    <t>India</t>
  </si>
  <si>
    <t>IND</t>
  </si>
  <si>
    <t>IN</t>
  </si>
  <si>
    <t>New Delhi</t>
  </si>
  <si>
    <t>Indian</t>
  </si>
  <si>
    <t>Indonesia</t>
  </si>
  <si>
    <t>IDN</t>
  </si>
  <si>
    <t>ID</t>
  </si>
  <si>
    <t>Jakarta</t>
  </si>
  <si>
    <t>Indonesian</t>
  </si>
  <si>
    <t>Iran</t>
  </si>
  <si>
    <t>IRN</t>
  </si>
  <si>
    <t>IR</t>
  </si>
  <si>
    <t>Tehran</t>
  </si>
  <si>
    <t>Iranian</t>
  </si>
  <si>
    <t>Iraq</t>
  </si>
  <si>
    <t>IRQ</t>
  </si>
  <si>
    <t>IQ</t>
  </si>
  <si>
    <t>Baghdad</t>
  </si>
  <si>
    <t>Iraqi</t>
  </si>
  <si>
    <t>Ireland</t>
  </si>
  <si>
    <t>IRL</t>
  </si>
  <si>
    <t>IE</t>
  </si>
  <si>
    <t>Dublin</t>
  </si>
  <si>
    <t>Irish</t>
  </si>
  <si>
    <t>Israel</t>
  </si>
  <si>
    <t>ISR</t>
  </si>
  <si>
    <t>IL</t>
  </si>
  <si>
    <t>Jerusalem</t>
  </si>
  <si>
    <t>Israeli</t>
  </si>
  <si>
    <t>Italy</t>
  </si>
  <si>
    <t>ITA</t>
  </si>
  <si>
    <t>IT</t>
  </si>
  <si>
    <t>Rome</t>
  </si>
  <si>
    <t>Italian</t>
  </si>
  <si>
    <t>Ivory Coast</t>
  </si>
  <si>
    <t>CIV</t>
  </si>
  <si>
    <t>CI</t>
  </si>
  <si>
    <t>Yamoussoukro</t>
  </si>
  <si>
    <t>Ivorian</t>
  </si>
  <si>
    <t>Jamaica</t>
  </si>
  <si>
    <t>JAM</t>
  </si>
  <si>
    <t>JM</t>
  </si>
  <si>
    <t>Kingston</t>
  </si>
  <si>
    <t>Jamaican</t>
  </si>
  <si>
    <t>Japan</t>
  </si>
  <si>
    <t>JPN</t>
  </si>
  <si>
    <t>JP</t>
  </si>
  <si>
    <t>Tokyo</t>
  </si>
  <si>
    <t>Japanese</t>
  </si>
  <si>
    <t>Jersey</t>
  </si>
  <si>
    <t>JEY</t>
  </si>
  <si>
    <t>JE</t>
  </si>
  <si>
    <t>Saint Helier</t>
  </si>
  <si>
    <t>Jordan</t>
  </si>
  <si>
    <t>JOR</t>
  </si>
  <si>
    <t>JO</t>
  </si>
  <si>
    <t>Amman</t>
  </si>
  <si>
    <t>Jordanian</t>
  </si>
  <si>
    <t>Kazakhstan</t>
  </si>
  <si>
    <t>KAZ</t>
  </si>
  <si>
    <t>KZ</t>
  </si>
  <si>
    <t>Astana</t>
  </si>
  <si>
    <t>Central Asia</t>
  </si>
  <si>
    <t>Kazakhstani</t>
  </si>
  <si>
    <t>Kenya</t>
  </si>
  <si>
    <t>KEN</t>
  </si>
  <si>
    <t>KE</t>
  </si>
  <si>
    <t>Nairobi</t>
  </si>
  <si>
    <t>Kenyan</t>
  </si>
  <si>
    <t>Kiribati</t>
  </si>
  <si>
    <t>KIR</t>
  </si>
  <si>
    <t>KI</t>
  </si>
  <si>
    <t>Tarawa</t>
  </si>
  <si>
    <t>I-Kiribati</t>
  </si>
  <si>
    <t>Kosovo</t>
  </si>
  <si>
    <t>XKX</t>
  </si>
  <si>
    <t>XK</t>
  </si>
  <si>
    <t>Pristina</t>
  </si>
  <si>
    <t>Kosovar</t>
  </si>
  <si>
    <t>Kuwait</t>
  </si>
  <si>
    <t>KWT</t>
  </si>
  <si>
    <t>KW</t>
  </si>
  <si>
    <t>Kuwait City</t>
  </si>
  <si>
    <t>Kuwaiti</t>
  </si>
  <si>
    <t>Kyrgyzstan</t>
  </si>
  <si>
    <t>KGZ</t>
  </si>
  <si>
    <t>KG</t>
  </si>
  <si>
    <t>Bishkek</t>
  </si>
  <si>
    <t>Kyrgyzstani</t>
  </si>
  <si>
    <t>Laos</t>
  </si>
  <si>
    <t>LAO</t>
  </si>
  <si>
    <t>LA</t>
  </si>
  <si>
    <t>Vientiane</t>
  </si>
  <si>
    <t>Lao</t>
  </si>
  <si>
    <t>Latvia</t>
  </si>
  <si>
    <t>LVA</t>
  </si>
  <si>
    <t>LV</t>
  </si>
  <si>
    <t>Riga</t>
  </si>
  <si>
    <t>Latvian</t>
  </si>
  <si>
    <t>Lebanon</t>
  </si>
  <si>
    <t>LBN</t>
  </si>
  <si>
    <t>LB</t>
  </si>
  <si>
    <t>Beirut</t>
  </si>
  <si>
    <t>Lebanese</t>
  </si>
  <si>
    <t>Lesotho</t>
  </si>
  <si>
    <t>LSO</t>
  </si>
  <si>
    <t>LS</t>
  </si>
  <si>
    <t>Maseru</t>
  </si>
  <si>
    <t>Liberia</t>
  </si>
  <si>
    <t>LBR</t>
  </si>
  <si>
    <t>LR</t>
  </si>
  <si>
    <t>Monrovia</t>
  </si>
  <si>
    <t>Liberian</t>
  </si>
  <si>
    <t>Libya</t>
  </si>
  <si>
    <t>LBY</t>
  </si>
  <si>
    <t>LY</t>
  </si>
  <si>
    <t>Libyan</t>
  </si>
  <si>
    <t>Liechtenstein</t>
  </si>
  <si>
    <t>LIE</t>
  </si>
  <si>
    <t>LI</t>
  </si>
  <si>
    <t>Vaduz</t>
  </si>
  <si>
    <t>Lithuania</t>
  </si>
  <si>
    <t>LTU</t>
  </si>
  <si>
    <t>LT</t>
  </si>
  <si>
    <t>Vilnius</t>
  </si>
  <si>
    <t>Lithuanian</t>
  </si>
  <si>
    <t>Luxembourg</t>
  </si>
  <si>
    <t>LUX</t>
  </si>
  <si>
    <t>LU</t>
  </si>
  <si>
    <t>MAC</t>
  </si>
  <si>
    <t>MO</t>
  </si>
  <si>
    <t>Macao</t>
  </si>
  <si>
    <t>Madagascar</t>
  </si>
  <si>
    <t>MDG</t>
  </si>
  <si>
    <t>MG</t>
  </si>
  <si>
    <t>Antananarivo</t>
  </si>
  <si>
    <t>Malagasy</t>
  </si>
  <si>
    <t>Malawi</t>
  </si>
  <si>
    <t>MWI</t>
  </si>
  <si>
    <t>MW</t>
  </si>
  <si>
    <t>Lilongwe</t>
  </si>
  <si>
    <t>Malawian</t>
  </si>
  <si>
    <t>Malaysia</t>
  </si>
  <si>
    <t>MYS</t>
  </si>
  <si>
    <t>MY</t>
  </si>
  <si>
    <t>Kuala Lumpur</t>
  </si>
  <si>
    <t>Malaysian</t>
  </si>
  <si>
    <t>Maldives</t>
  </si>
  <si>
    <t>MDV</t>
  </si>
  <si>
    <t>MV</t>
  </si>
  <si>
    <t>Maldivian</t>
  </si>
  <si>
    <t>Mali</t>
  </si>
  <si>
    <t>MLI</t>
  </si>
  <si>
    <t>ML</t>
  </si>
  <si>
    <t>Bamako</t>
  </si>
  <si>
    <t>Malian</t>
  </si>
  <si>
    <t>Malta</t>
  </si>
  <si>
    <t>MLT</t>
  </si>
  <si>
    <t>MT</t>
  </si>
  <si>
    <t>Valletta</t>
  </si>
  <si>
    <t>Maltese</t>
  </si>
  <si>
    <t>IMN</t>
  </si>
  <si>
    <t>IM</t>
  </si>
  <si>
    <t>Douglas</t>
  </si>
  <si>
    <t>Marshall Islands</t>
  </si>
  <si>
    <t>MHL</t>
  </si>
  <si>
    <t>MH</t>
  </si>
  <si>
    <t>Majuro</t>
  </si>
  <si>
    <t>Marshallese</t>
  </si>
  <si>
    <t>Martinique</t>
  </si>
  <si>
    <t>MTQ</t>
  </si>
  <si>
    <t>MQ</t>
  </si>
  <si>
    <t>Fort-de-France</t>
  </si>
  <si>
    <t>Mauritania</t>
  </si>
  <si>
    <t>MRT</t>
  </si>
  <si>
    <t>MR</t>
  </si>
  <si>
    <t>Nouakchott</t>
  </si>
  <si>
    <t>Mauritanian</t>
  </si>
  <si>
    <t>Mauritius</t>
  </si>
  <si>
    <t>MUS</t>
  </si>
  <si>
    <t>MU</t>
  </si>
  <si>
    <t>Port Louis</t>
  </si>
  <si>
    <t>Mauritian</t>
  </si>
  <si>
    <t>Mayotte</t>
  </si>
  <si>
    <t>MYT</t>
  </si>
  <si>
    <t>YT</t>
  </si>
  <si>
    <t>Mamoudzou</t>
  </si>
  <si>
    <t>Mahoran</t>
  </si>
  <si>
    <t>Mexico</t>
  </si>
  <si>
    <t>MEX</t>
  </si>
  <si>
    <t>MX</t>
  </si>
  <si>
    <t>Mexican</t>
  </si>
  <si>
    <t>FSM</t>
  </si>
  <si>
    <t>FM</t>
  </si>
  <si>
    <t>Palikir</t>
  </si>
  <si>
    <t>Micronesian</t>
  </si>
  <si>
    <t>Moldova</t>
  </si>
  <si>
    <t>MDA</t>
  </si>
  <si>
    <t>MD</t>
  </si>
  <si>
    <t>Moldovan</t>
  </si>
  <si>
    <t>Monaco</t>
  </si>
  <si>
    <t>MCO</t>
  </si>
  <si>
    <t>MC</t>
  </si>
  <si>
    <t>Mongolia</t>
  </si>
  <si>
    <t>MNG</t>
  </si>
  <si>
    <t>MN</t>
  </si>
  <si>
    <t>Mongolian</t>
  </si>
  <si>
    <t>Montenegro</t>
  </si>
  <si>
    <t>MNE</t>
  </si>
  <si>
    <t>ME</t>
  </si>
  <si>
    <t>Podgorica</t>
  </si>
  <si>
    <t>Montenegrin</t>
  </si>
  <si>
    <t>Montserrat</t>
  </si>
  <si>
    <t>MSR</t>
  </si>
  <si>
    <t>MS</t>
  </si>
  <si>
    <t>Plymouth</t>
  </si>
  <si>
    <t>Montserratian</t>
  </si>
  <si>
    <t>Morocco</t>
  </si>
  <si>
    <t>MAR</t>
  </si>
  <si>
    <t>MA</t>
  </si>
  <si>
    <t>Rabat</t>
  </si>
  <si>
    <t>Moroccan</t>
  </si>
  <si>
    <t>Mozambique</t>
  </si>
  <si>
    <t>MOZ</t>
  </si>
  <si>
    <t>MZ</t>
  </si>
  <si>
    <t>Maputo</t>
  </si>
  <si>
    <t>Mozambican</t>
  </si>
  <si>
    <t>Myanmar</t>
  </si>
  <si>
    <t>MMR</t>
  </si>
  <si>
    <t>MM</t>
  </si>
  <si>
    <t>Burmese</t>
  </si>
  <si>
    <t>Namibia</t>
  </si>
  <si>
    <t>NAM</t>
  </si>
  <si>
    <t>NA</t>
  </si>
  <si>
    <t>Windhoek</t>
  </si>
  <si>
    <t>Namibian</t>
  </si>
  <si>
    <t>Nauru</t>
  </si>
  <si>
    <t>NRU</t>
  </si>
  <si>
    <t>NR</t>
  </si>
  <si>
    <t>Yaren</t>
  </si>
  <si>
    <t>Nauruan</t>
  </si>
  <si>
    <t>Nepal</t>
  </si>
  <si>
    <t>NPL</t>
  </si>
  <si>
    <t>NP</t>
  </si>
  <si>
    <t>Kathmandu</t>
  </si>
  <si>
    <t>Nepali</t>
  </si>
  <si>
    <t>Netherlands</t>
  </si>
  <si>
    <t>NLD</t>
  </si>
  <si>
    <t>NL</t>
  </si>
  <si>
    <t>Amsterdam</t>
  </si>
  <si>
    <t>Dutch</t>
  </si>
  <si>
    <t>New Caledonia</t>
  </si>
  <si>
    <t>NCL</t>
  </si>
  <si>
    <t>NC</t>
  </si>
  <si>
    <t>New Caledonian</t>
  </si>
  <si>
    <t>New Zealand</t>
  </si>
  <si>
    <t>NZL</t>
  </si>
  <si>
    <t>NZ</t>
  </si>
  <si>
    <t>Wellington</t>
  </si>
  <si>
    <t>Nicaragua</t>
  </si>
  <si>
    <t>NIC</t>
  </si>
  <si>
    <t>NI</t>
  </si>
  <si>
    <t>Managua</t>
  </si>
  <si>
    <t>Nicaraguan</t>
  </si>
  <si>
    <t>Niger</t>
  </si>
  <si>
    <t>NER</t>
  </si>
  <si>
    <t>NE</t>
  </si>
  <si>
    <t>Niamey</t>
  </si>
  <si>
    <t>Nigerien</t>
  </si>
  <si>
    <t>Nigeria</t>
  </si>
  <si>
    <t>NGA</t>
  </si>
  <si>
    <t>NG</t>
  </si>
  <si>
    <t>Abuja</t>
  </si>
  <si>
    <t>Nigerian</t>
  </si>
  <si>
    <t>Niue</t>
  </si>
  <si>
    <t>NIU</t>
  </si>
  <si>
    <t>NU</t>
  </si>
  <si>
    <t>Alofi</t>
  </si>
  <si>
    <t>Niuean</t>
  </si>
  <si>
    <t>Norfolk Island</t>
  </si>
  <si>
    <t>NFK</t>
  </si>
  <si>
    <t>NF</t>
  </si>
  <si>
    <t>North Korea</t>
  </si>
  <si>
    <t>PRK</t>
  </si>
  <si>
    <t>KP</t>
  </si>
  <si>
    <t>Pyongyang</t>
  </si>
  <si>
    <t>North Korean</t>
  </si>
  <si>
    <t>North Macedonia</t>
  </si>
  <si>
    <t>MKD</t>
  </si>
  <si>
    <t>MK</t>
  </si>
  <si>
    <t>Skopje</t>
  </si>
  <si>
    <t>Macedonian</t>
  </si>
  <si>
    <t>Northern Mariana Islands</t>
  </si>
  <si>
    <t>MNP</t>
  </si>
  <si>
    <t>MP</t>
  </si>
  <si>
    <t>Saipan</t>
  </si>
  <si>
    <t>Norway</t>
  </si>
  <si>
    <t>NOR</t>
  </si>
  <si>
    <t>NO</t>
  </si>
  <si>
    <t>Oslo</t>
  </si>
  <si>
    <t>Norwegian</t>
  </si>
  <si>
    <t>Oman</t>
  </si>
  <si>
    <t>OMN</t>
  </si>
  <si>
    <t>OM</t>
  </si>
  <si>
    <t>Muscat</t>
  </si>
  <si>
    <t>Omani</t>
  </si>
  <si>
    <t>Pakistan</t>
  </si>
  <si>
    <t>PAK</t>
  </si>
  <si>
    <t>PK</t>
  </si>
  <si>
    <t>Islamabad</t>
  </si>
  <si>
    <t>Pakistani</t>
  </si>
  <si>
    <t>Palau</t>
  </si>
  <si>
    <t>PLW</t>
  </si>
  <si>
    <t>PW</t>
  </si>
  <si>
    <t>Palauan</t>
  </si>
  <si>
    <t>PSE</t>
  </si>
  <si>
    <t>PS</t>
  </si>
  <si>
    <t>East Jerusalem</t>
  </si>
  <si>
    <t>Palestinian</t>
  </si>
  <si>
    <t>Panama</t>
  </si>
  <si>
    <t>PAN</t>
  </si>
  <si>
    <t>PA</t>
  </si>
  <si>
    <t>Panama City</t>
  </si>
  <si>
    <t>Panamanian</t>
  </si>
  <si>
    <t>Papua New Guinea</t>
  </si>
  <si>
    <t>PNG</t>
  </si>
  <si>
    <t>PG</t>
  </si>
  <si>
    <t>Port Moresby</t>
  </si>
  <si>
    <t>Papua New Guinean</t>
  </si>
  <si>
    <t>Paraguay</t>
  </si>
  <si>
    <t>PRY</t>
  </si>
  <si>
    <t>PY</t>
  </si>
  <si>
    <t>Asunción</t>
  </si>
  <si>
    <t>Paraguayan</t>
  </si>
  <si>
    <t>Peru</t>
  </si>
  <si>
    <t>PER</t>
  </si>
  <si>
    <t>PE</t>
  </si>
  <si>
    <t>Lima</t>
  </si>
  <si>
    <t>Peruvian</t>
  </si>
  <si>
    <t>Philippines</t>
  </si>
  <si>
    <t>PHL</t>
  </si>
  <si>
    <t>PH</t>
  </si>
  <si>
    <t>Manila</t>
  </si>
  <si>
    <t>Philippine</t>
  </si>
  <si>
    <t>PCN</t>
  </si>
  <si>
    <t>PN</t>
  </si>
  <si>
    <t>Adamstown</t>
  </si>
  <si>
    <t>Poland</t>
  </si>
  <si>
    <t>POL</t>
  </si>
  <si>
    <t>PL</t>
  </si>
  <si>
    <t>Warsaw</t>
  </si>
  <si>
    <t>Polish</t>
  </si>
  <si>
    <t>Portugal</t>
  </si>
  <si>
    <t>PRT</t>
  </si>
  <si>
    <t>PT</t>
  </si>
  <si>
    <t>Lisbon</t>
  </si>
  <si>
    <t>Portuguese</t>
  </si>
  <si>
    <t>Puerto Rico</t>
  </si>
  <si>
    <t>PRI</t>
  </si>
  <si>
    <t>PR</t>
  </si>
  <si>
    <t>San Juan</t>
  </si>
  <si>
    <t>Puerto Rican</t>
  </si>
  <si>
    <t>Qatar</t>
  </si>
  <si>
    <t>QAT</t>
  </si>
  <si>
    <t>QA</t>
  </si>
  <si>
    <t>Doha</t>
  </si>
  <si>
    <t>Qatari</t>
  </si>
  <si>
    <t>REU</t>
  </si>
  <si>
    <t>RE</t>
  </si>
  <si>
    <t>Saint-Denis</t>
  </si>
  <si>
    <t>Romania</t>
  </si>
  <si>
    <t>ROU</t>
  </si>
  <si>
    <t>RO</t>
  </si>
  <si>
    <t>Bucharest</t>
  </si>
  <si>
    <t>Romanian</t>
  </si>
  <si>
    <t>Russia</t>
  </si>
  <si>
    <t>RUS</t>
  </si>
  <si>
    <t>RU</t>
  </si>
  <si>
    <t>Moscow</t>
  </si>
  <si>
    <t>Russian</t>
  </si>
  <si>
    <t>Rwanda</t>
  </si>
  <si>
    <t>RWA</t>
  </si>
  <si>
    <t>RW</t>
  </si>
  <si>
    <t>Kigali</t>
  </si>
  <si>
    <t>Rwandan</t>
  </si>
  <si>
    <t>Saint Helena</t>
  </si>
  <si>
    <t>SHN</t>
  </si>
  <si>
    <t>SH</t>
  </si>
  <si>
    <t>Jamestown</t>
  </si>
  <si>
    <t>Saint Kitts and Nevis</t>
  </si>
  <si>
    <t>KNA</t>
  </si>
  <si>
    <t>KN</t>
  </si>
  <si>
    <t>Basseterre</t>
  </si>
  <si>
    <t>Kittitian or Nevisian</t>
  </si>
  <si>
    <t>Saint Lucia</t>
  </si>
  <si>
    <t>LCA</t>
  </si>
  <si>
    <t>LC</t>
  </si>
  <si>
    <t>Castries</t>
  </si>
  <si>
    <t>Saint Lucian</t>
  </si>
  <si>
    <t>Saint Pierre and Miquelon</t>
  </si>
  <si>
    <t>SPM</t>
  </si>
  <si>
    <t>PM</t>
  </si>
  <si>
    <t>Saint-Pierre</t>
  </si>
  <si>
    <t>Saint-Pierrais or Miquelonnais</t>
  </si>
  <si>
    <t>Saint Vincent and the Grenadines</t>
  </si>
  <si>
    <t>VCT</t>
  </si>
  <si>
    <t>VC</t>
  </si>
  <si>
    <t>Kingstown</t>
  </si>
  <si>
    <t>BLM</t>
  </si>
  <si>
    <t>BL</t>
  </si>
  <si>
    <t>Gustavia</t>
  </si>
  <si>
    <t>MAF</t>
  </si>
  <si>
    <t>MF</t>
  </si>
  <si>
    <t>Marigot</t>
  </si>
  <si>
    <t>Saint-Martinoise</t>
  </si>
  <si>
    <t>Samoa</t>
  </si>
  <si>
    <t>WSM</t>
  </si>
  <si>
    <t>WS</t>
  </si>
  <si>
    <t>Apia</t>
  </si>
  <si>
    <t>Samoan</t>
  </si>
  <si>
    <t>San Marino</t>
  </si>
  <si>
    <t>SMR</t>
  </si>
  <si>
    <t>SM</t>
  </si>
  <si>
    <t>Sammarinese</t>
  </si>
  <si>
    <t>STP</t>
  </si>
  <si>
    <t>ST</t>
  </si>
  <si>
    <t>Saudi Arabia</t>
  </si>
  <si>
    <t>SAU</t>
  </si>
  <si>
    <t>SA</t>
  </si>
  <si>
    <t>Riyadh</t>
  </si>
  <si>
    <t>Saudi</t>
  </si>
  <si>
    <t>Senegal</t>
  </si>
  <si>
    <t>SEN</t>
  </si>
  <si>
    <t>SN</t>
  </si>
  <si>
    <t>Dakar</t>
  </si>
  <si>
    <t>Senegalese</t>
  </si>
  <si>
    <t>Serbia</t>
  </si>
  <si>
    <t>SRB</t>
  </si>
  <si>
    <t>RS</t>
  </si>
  <si>
    <t>Belgrade</t>
  </si>
  <si>
    <t>Serbian</t>
  </si>
  <si>
    <t>Seychelles</t>
  </si>
  <si>
    <t>SYC</t>
  </si>
  <si>
    <t>SC</t>
  </si>
  <si>
    <t>Victoria</t>
  </si>
  <si>
    <t>Seychellois</t>
  </si>
  <si>
    <t>Sierra Leone</t>
  </si>
  <si>
    <t>SLE</t>
  </si>
  <si>
    <t>SL</t>
  </si>
  <si>
    <t>Freetown</t>
  </si>
  <si>
    <t>Sierra Leonean</t>
  </si>
  <si>
    <t>Singapore</t>
  </si>
  <si>
    <t>SGP</t>
  </si>
  <si>
    <t>SG</t>
  </si>
  <si>
    <t>Singaporean</t>
  </si>
  <si>
    <t>SXM</t>
  </si>
  <si>
    <t>SX</t>
  </si>
  <si>
    <t>Philipsburg</t>
  </si>
  <si>
    <t>Sint Maarten</t>
  </si>
  <si>
    <t>Slovakia</t>
  </si>
  <si>
    <t>SVK</t>
  </si>
  <si>
    <t>SK</t>
  </si>
  <si>
    <t>Bratislava</t>
  </si>
  <si>
    <t>Slovak</t>
  </si>
  <si>
    <t>Slovenia</t>
  </si>
  <si>
    <t>SVN</t>
  </si>
  <si>
    <t>SI</t>
  </si>
  <si>
    <t>Ljubljana</t>
  </si>
  <si>
    <t>Slovenian</t>
  </si>
  <si>
    <t>Solomon Islands</t>
  </si>
  <si>
    <t>SLB</t>
  </si>
  <si>
    <t>SB</t>
  </si>
  <si>
    <t>Honiara</t>
  </si>
  <si>
    <t>Somalia</t>
  </si>
  <si>
    <t>SOM</t>
  </si>
  <si>
    <t>SO</t>
  </si>
  <si>
    <t>Mogadishu</t>
  </si>
  <si>
    <t>Somali</t>
  </si>
  <si>
    <t>South Africa</t>
  </si>
  <si>
    <t>ZAF</t>
  </si>
  <si>
    <t>ZA</t>
  </si>
  <si>
    <t>Pretoria</t>
  </si>
  <si>
    <t>South African</t>
  </si>
  <si>
    <t>South Georgia</t>
  </si>
  <si>
    <t>SGS</t>
  </si>
  <si>
    <t>GS</t>
  </si>
  <si>
    <t>South Korea</t>
  </si>
  <si>
    <t>KOR</t>
  </si>
  <si>
    <t>KR</t>
  </si>
  <si>
    <t>Seoul</t>
  </si>
  <si>
    <t>South Korean</t>
  </si>
  <si>
    <t>South Sudan</t>
  </si>
  <si>
    <t>SSD</t>
  </si>
  <si>
    <t>SS</t>
  </si>
  <si>
    <t>Juba</t>
  </si>
  <si>
    <t>South Sudanese</t>
  </si>
  <si>
    <t>Spain</t>
  </si>
  <si>
    <t>ESP</t>
  </si>
  <si>
    <t>ES</t>
  </si>
  <si>
    <t>Madrid</t>
  </si>
  <si>
    <t>Spanish</t>
  </si>
  <si>
    <t>Sri Lanka</t>
  </si>
  <si>
    <t>LKA</t>
  </si>
  <si>
    <t>LK</t>
  </si>
  <si>
    <t>Colombo</t>
  </si>
  <si>
    <t>Sri Lankan</t>
  </si>
  <si>
    <t>Sudan</t>
  </si>
  <si>
    <t>SDN</t>
  </si>
  <si>
    <t>SD</t>
  </si>
  <si>
    <t>Khartoum</t>
  </si>
  <si>
    <t>Sudanese</t>
  </si>
  <si>
    <t>Suriname</t>
  </si>
  <si>
    <t>SUR</t>
  </si>
  <si>
    <t>SR</t>
  </si>
  <si>
    <t>Paramaribo</t>
  </si>
  <si>
    <t>Surinamese</t>
  </si>
  <si>
    <t>SJM</t>
  </si>
  <si>
    <t>SJ</t>
  </si>
  <si>
    <t>Longyearbyen</t>
  </si>
  <si>
    <t>Svalbard</t>
  </si>
  <si>
    <t>Sweden</t>
  </si>
  <si>
    <t>SWE</t>
  </si>
  <si>
    <t>SE</t>
  </si>
  <si>
    <t>Stockholm</t>
  </si>
  <si>
    <t>Swedish</t>
  </si>
  <si>
    <t>Switzerland</t>
  </si>
  <si>
    <t>CHE</t>
  </si>
  <si>
    <t>CH</t>
  </si>
  <si>
    <t>Bern</t>
  </si>
  <si>
    <t>Swiss</t>
  </si>
  <si>
    <t>Syria</t>
  </si>
  <si>
    <t>SYR</t>
  </si>
  <si>
    <t>SY</t>
  </si>
  <si>
    <t>Damascus</t>
  </si>
  <si>
    <t>Syrian</t>
  </si>
  <si>
    <t>Taiwan</t>
  </si>
  <si>
    <t>TWN</t>
  </si>
  <si>
    <t>TW</t>
  </si>
  <si>
    <t>Taipei</t>
  </si>
  <si>
    <t>Tajikistan</t>
  </si>
  <si>
    <t>TJK</t>
  </si>
  <si>
    <t>TJ</t>
  </si>
  <si>
    <t>Dushanbe</t>
  </si>
  <si>
    <t>Tajikistani</t>
  </si>
  <si>
    <t>Tanzania</t>
  </si>
  <si>
    <t>TZA</t>
  </si>
  <si>
    <t>TZ</t>
  </si>
  <si>
    <t>Dodoma</t>
  </si>
  <si>
    <t>Tanzanian</t>
  </si>
  <si>
    <t>Thailand</t>
  </si>
  <si>
    <t>THA</t>
  </si>
  <si>
    <t>TH</t>
  </si>
  <si>
    <t>Bangkok</t>
  </si>
  <si>
    <t>Thai</t>
  </si>
  <si>
    <t>BHS</t>
  </si>
  <si>
    <t>BS</t>
  </si>
  <si>
    <t>Nassau</t>
  </si>
  <si>
    <t>Bahamian</t>
  </si>
  <si>
    <t>GMB</t>
  </si>
  <si>
    <t>GM</t>
  </si>
  <si>
    <t>Banjul</t>
  </si>
  <si>
    <t>Gambian</t>
  </si>
  <si>
    <t>Timor-Leste</t>
  </si>
  <si>
    <t>TLS</t>
  </si>
  <si>
    <t>TL</t>
  </si>
  <si>
    <t>Dili</t>
  </si>
  <si>
    <t>Timorese</t>
  </si>
  <si>
    <t>Togo</t>
  </si>
  <si>
    <t>TGO</t>
  </si>
  <si>
    <t>TG</t>
  </si>
  <si>
    <t>Togolese</t>
  </si>
  <si>
    <t>Tokelau</t>
  </si>
  <si>
    <t>TKL</t>
  </si>
  <si>
    <t>TK</t>
  </si>
  <si>
    <t>Tokelauan</t>
  </si>
  <si>
    <t>Tonga</t>
  </si>
  <si>
    <t>TON</t>
  </si>
  <si>
    <t>TO</t>
  </si>
  <si>
    <t>Nuku'alofa</t>
  </si>
  <si>
    <t>Tongan</t>
  </si>
  <si>
    <t>Trinidad and Tobago</t>
  </si>
  <si>
    <t>TTO</t>
  </si>
  <si>
    <t>TT</t>
  </si>
  <si>
    <t>Port of Spain</t>
  </si>
  <si>
    <t>Trinidadian or Tobagonian</t>
  </si>
  <si>
    <t>Tunisia</t>
  </si>
  <si>
    <t>TUN</t>
  </si>
  <si>
    <t>TN</t>
  </si>
  <si>
    <t>Tunis</t>
  </si>
  <si>
    <t>Tunisian</t>
  </si>
  <si>
    <t>Turkey</t>
  </si>
  <si>
    <t>TUR</t>
  </si>
  <si>
    <t>TR</t>
  </si>
  <si>
    <t>Ankara</t>
  </si>
  <si>
    <t>Turkish</t>
  </si>
  <si>
    <t>Turkmenistan</t>
  </si>
  <si>
    <t>TKM</t>
  </si>
  <si>
    <t>TM</t>
  </si>
  <si>
    <t>Ashgabat</t>
  </si>
  <si>
    <t>Turkmen</t>
  </si>
  <si>
    <t>Turks and Caicos Islands</t>
  </si>
  <si>
    <t>TCA</t>
  </si>
  <si>
    <t>TC</t>
  </si>
  <si>
    <t>Cockburn Town</t>
  </si>
  <si>
    <t>Tuvalu</t>
  </si>
  <si>
    <t>TUV</t>
  </si>
  <si>
    <t>TV</t>
  </si>
  <si>
    <t>Funafuti</t>
  </si>
  <si>
    <t>Tuvaluan</t>
  </si>
  <si>
    <t>Uganda</t>
  </si>
  <si>
    <t>UGA</t>
  </si>
  <si>
    <t>UG</t>
  </si>
  <si>
    <t>Kampala</t>
  </si>
  <si>
    <t>Ugandan</t>
  </si>
  <si>
    <t>Ukraine</t>
  </si>
  <si>
    <t>UKR</t>
  </si>
  <si>
    <t>UA</t>
  </si>
  <si>
    <t>Kyiv</t>
  </si>
  <si>
    <t>Ukrainian</t>
  </si>
  <si>
    <t>United Arab Emirates</t>
  </si>
  <si>
    <t>ARE</t>
  </si>
  <si>
    <t>AE</t>
  </si>
  <si>
    <t>Abu Dhabi</t>
  </si>
  <si>
    <t>Emirati</t>
  </si>
  <si>
    <t>United Kingdom</t>
  </si>
  <si>
    <t>GBR</t>
  </si>
  <si>
    <t>GB</t>
  </si>
  <si>
    <t>London</t>
  </si>
  <si>
    <t>British</t>
  </si>
  <si>
    <t>United States</t>
  </si>
  <si>
    <t>USA</t>
  </si>
  <si>
    <t>US</t>
  </si>
  <si>
    <t>American</t>
  </si>
  <si>
    <t>United States Minor Outlying Islands</t>
  </si>
  <si>
    <t>UMI</t>
  </si>
  <si>
    <t>UM</t>
  </si>
  <si>
    <t>Uruguay</t>
  </si>
  <si>
    <t>URY</t>
  </si>
  <si>
    <t>UY</t>
  </si>
  <si>
    <t>Montevideo</t>
  </si>
  <si>
    <t>Uruguayan</t>
  </si>
  <si>
    <t>Uzbekistan</t>
  </si>
  <si>
    <t>UZB</t>
  </si>
  <si>
    <t>UZ</t>
  </si>
  <si>
    <t>Tashkent</t>
  </si>
  <si>
    <t>Uzbekistani</t>
  </si>
  <si>
    <t>Vanuatu</t>
  </si>
  <si>
    <t>VUT</t>
  </si>
  <si>
    <t>VU</t>
  </si>
  <si>
    <t>Port Vila</t>
  </si>
  <si>
    <t>Ni-Vanuatu</t>
  </si>
  <si>
    <t>VAT</t>
  </si>
  <si>
    <t>VA</t>
  </si>
  <si>
    <t>Vatican City</t>
  </si>
  <si>
    <t>Vatican</t>
  </si>
  <si>
    <t>Venezuela</t>
  </si>
  <si>
    <t>VEN</t>
  </si>
  <si>
    <t>VE</t>
  </si>
  <si>
    <t>Caracas</t>
  </si>
  <si>
    <t>Venezuelan</t>
  </si>
  <si>
    <t>Vietnam</t>
  </si>
  <si>
    <t>VNM</t>
  </si>
  <si>
    <t>VN</t>
  </si>
  <si>
    <t>Hanoi</t>
  </si>
  <si>
    <t>Vietnamese</t>
  </si>
  <si>
    <t>VGB</t>
  </si>
  <si>
    <t>VG</t>
  </si>
  <si>
    <t>Road Town</t>
  </si>
  <si>
    <t>VIR</t>
  </si>
  <si>
    <t>VI</t>
  </si>
  <si>
    <t>Charlotte Amalie</t>
  </si>
  <si>
    <t>WLF</t>
  </si>
  <si>
    <t>WF</t>
  </si>
  <si>
    <t>Mata Utu</t>
  </si>
  <si>
    <t>Wallis and Futuna</t>
  </si>
  <si>
    <t>Western Sahara</t>
  </si>
  <si>
    <t>ESH</t>
  </si>
  <si>
    <t>EH</t>
  </si>
  <si>
    <t>Sahrawi</t>
  </si>
  <si>
    <t>Yemen</t>
  </si>
  <si>
    <t>YEM</t>
  </si>
  <si>
    <t>YE</t>
  </si>
  <si>
    <t>Sanaa</t>
  </si>
  <si>
    <t>Yemeni</t>
  </si>
  <si>
    <t>Zambia</t>
  </si>
  <si>
    <t>ZMB</t>
  </si>
  <si>
    <t>ZM</t>
  </si>
  <si>
    <t>Lusaka</t>
  </si>
  <si>
    <t>Zambian</t>
  </si>
  <si>
    <t>Zimbabwe</t>
  </si>
  <si>
    <t>ZWE</t>
  </si>
  <si>
    <t>ZW</t>
  </si>
  <si>
    <t>Harare</t>
  </si>
  <si>
    <t>Zimbabwean</t>
  </si>
  <si>
    <t>Bonaire, Sint Eustasius and Saba</t>
  </si>
  <si>
    <t>BES</t>
  </si>
  <si>
    <t>BQ</t>
  </si>
  <si>
    <t>Saint-Barthélemy</t>
  </si>
  <si>
    <t>the</t>
  </si>
  <si>
    <t>optional_prefix</t>
  </si>
  <si>
    <t>optional_suffix</t>
  </si>
  <si>
    <t>Bahamas</t>
  </si>
  <si>
    <t>optional_name</t>
  </si>
  <si>
    <t>Cabo Verde</t>
  </si>
  <si>
    <t>Czechia</t>
  </si>
  <si>
    <t>Fiji</t>
  </si>
  <si>
    <t>Gambia</t>
  </si>
  <si>
    <t xml:space="preserve"> S.A.R.</t>
  </si>
  <si>
    <t>Isle of Man</t>
  </si>
  <si>
    <t>Macau</t>
  </si>
  <si>
    <t>Saint Martin</t>
  </si>
  <si>
    <t>(French part)</t>
  </si>
  <si>
    <t>the Republic of</t>
  </si>
  <si>
    <t>Pitcairn</t>
  </si>
  <si>
    <t>Islands</t>
  </si>
  <si>
    <t>the Republic of Korea</t>
  </si>
  <si>
    <t>the Democratic People's Republic of Korea</t>
  </si>
  <si>
    <t>Palestine</t>
  </si>
  <si>
    <t>Réunion</t>
  </si>
  <si>
    <t>the Russian Federation</t>
  </si>
  <si>
    <t>Saint Helena, Ascension and Tristan da Cunha</t>
  </si>
  <si>
    <t>South Georgia and the South Sandwich Islands</t>
  </si>
  <si>
    <t>Svalbard and Jan Mayen</t>
  </si>
  <si>
    <t>(Dutch part)</t>
  </si>
  <si>
    <t>the Syrian Arab Republic</t>
  </si>
  <si>
    <t>Türkiye</t>
  </si>
  <si>
    <t>the United Republic of</t>
  </si>
  <si>
    <t>of America</t>
  </si>
  <si>
    <t>Holy See</t>
  </si>
  <si>
    <t>British Virgin Islands</t>
  </si>
  <si>
    <t>United States Virgin Islands</t>
  </si>
  <si>
    <t>Saint Vincent</t>
  </si>
  <si>
    <t>demonym</t>
  </si>
  <si>
    <t>Virgin Islander</t>
  </si>
  <si>
    <t>U.S. Virgin Islander</t>
  </si>
  <si>
    <t>Washington D.C.</t>
  </si>
  <si>
    <t>Taiwanese</t>
  </si>
  <si>
    <t>Vincentian or Grenadinian</t>
  </si>
  <si>
    <t>Wallisian or Futunan</t>
  </si>
  <si>
    <t>East Timor</t>
  </si>
  <si>
    <t>Lomé</t>
  </si>
  <si>
    <t>Turks and Caicos Islander</t>
  </si>
  <si>
    <t>São Tomé and Príncipe</t>
  </si>
  <si>
    <t>São Tomé</t>
  </si>
  <si>
    <t>São Toméan</t>
  </si>
  <si>
    <t>the Solomons</t>
  </si>
  <si>
    <t>Solomon Islander or Solomonese</t>
  </si>
  <si>
    <t>King Edward Point</t>
  </si>
  <si>
    <t>South Georgian or South Sandwich Islander</t>
  </si>
  <si>
    <t>Réunionese</t>
  </si>
  <si>
    <t>French Polynesian</t>
  </si>
  <si>
    <t>Ngerulmud</t>
  </si>
  <si>
    <t>Pitcairn Islanders</t>
  </si>
  <si>
    <t>New Zealander</t>
  </si>
  <si>
    <t>Nouméa</t>
  </si>
  <si>
    <t>Martinician</t>
  </si>
  <si>
    <t>Northern Mariana Islander</t>
  </si>
  <si>
    <t>Ulaanbataar</t>
  </si>
  <si>
    <t>Burma</t>
  </si>
  <si>
    <t>Naypyidaw</t>
  </si>
  <si>
    <t>Mexico City</t>
  </si>
  <si>
    <t>Malé</t>
  </si>
  <si>
    <t>Chișinău</t>
  </si>
  <si>
    <t>Monégasque</t>
  </si>
  <si>
    <t>Macau people</t>
  </si>
  <si>
    <t>Luxembourger</t>
  </si>
  <si>
    <t>Mosotho or Basotho</t>
  </si>
  <si>
    <t>Liechtensteiner</t>
  </si>
  <si>
    <t>Tripoli</t>
  </si>
  <si>
    <t>the Lao People's Democratic Republic</t>
  </si>
  <si>
    <t>the Federation of Christopher and Nevis</t>
  </si>
  <si>
    <t>the Kingdom of</t>
  </si>
  <si>
    <t>the Kyrgyz Republic or Kirghizia</t>
  </si>
  <si>
    <t xml:space="preserve">the Republic of </t>
  </si>
  <si>
    <t>the Republic of the</t>
  </si>
  <si>
    <t>the Lebanese Republic</t>
  </si>
  <si>
    <t>the Collectivity of</t>
  </si>
  <si>
    <t>the Principality of</t>
  </si>
  <si>
    <t>the Republic of the Union of</t>
  </si>
  <si>
    <t>the United Mexican States</t>
  </si>
  <si>
    <t>the Maldive Islands</t>
  </si>
  <si>
    <t>the State of</t>
  </si>
  <si>
    <t>the Democratic Socialist Republic of</t>
  </si>
  <si>
    <t>the Grand Duchy of</t>
  </si>
  <si>
    <t>the Commonwealth of the</t>
  </si>
  <si>
    <t>the Islamic Republic of</t>
  </si>
  <si>
    <t>the Department of</t>
  </si>
  <si>
    <t>the Territory of</t>
  </si>
  <si>
    <t>the Federal Republic of</t>
  </si>
  <si>
    <t>the Kingdom of the</t>
  </si>
  <si>
    <t>the Federal Democratic Republic of</t>
  </si>
  <si>
    <t>the Sultanate of</t>
  </si>
  <si>
    <t xml:space="preserve">the Independent State of </t>
  </si>
  <si>
    <t>the Commonwealth of</t>
  </si>
  <si>
    <t xml:space="preserve">the </t>
  </si>
  <si>
    <t>the Territorial Collectivity of</t>
  </si>
  <si>
    <t>the Democratic Republic of</t>
  </si>
  <si>
    <t>the Palestinian territories or the occupied Palestinian territory</t>
  </si>
  <si>
    <t>the Portuguese Republic</t>
  </si>
  <si>
    <t>the Republic of the Philippines</t>
  </si>
  <si>
    <t>the Pitcairn, Henderson, Ducie and Oeno Islands</t>
  </si>
  <si>
    <t>the Slovak Republic</t>
  </si>
  <si>
    <t>Swaziland or the Kingdom of Swaziland</t>
  </si>
  <si>
    <t>the Togolese Republic</t>
  </si>
  <si>
    <t>the Republic of China</t>
  </si>
  <si>
    <t>(Province of China)</t>
  </si>
  <si>
    <t>the Oriental Republic of</t>
  </si>
  <si>
    <t>the See of Rome or the Pertine See or the Apostolic See</t>
  </si>
  <si>
    <t>the Bolivarian Republic of</t>
  </si>
  <si>
    <t>the Virgin Islands</t>
  </si>
  <si>
    <t>the Virgin Islands of the United States</t>
  </si>
  <si>
    <t>the Socialist Republic of Viet Nam</t>
  </si>
  <si>
    <t>the Territory of the Wallis and Futuna Islands</t>
  </si>
  <si>
    <t>the Hashemite Kingdom of</t>
  </si>
  <si>
    <t>the Bailiwick of</t>
  </si>
  <si>
    <t>Islanders</t>
  </si>
  <si>
    <t>the Italian Republic</t>
  </si>
  <si>
    <t>Reykjavík</t>
  </si>
  <si>
    <t>Icelander</t>
  </si>
  <si>
    <t>Man or Mann</t>
  </si>
  <si>
    <t>Manx</t>
  </si>
  <si>
    <t>HongKonger</t>
  </si>
  <si>
    <t>the Co-operative Republic of</t>
  </si>
  <si>
    <t>Hagåtña</t>
  </si>
  <si>
    <t>Guyane</t>
  </si>
  <si>
    <t>the Hellenic Republic</t>
  </si>
  <si>
    <t>Greek or Hellene</t>
  </si>
  <si>
    <t>Ciudad de la Paz</t>
  </si>
  <si>
    <t>the Republic of The</t>
  </si>
  <si>
    <t>Guadeloupean</t>
  </si>
  <si>
    <t>Guinea-Conakry</t>
  </si>
  <si>
    <t>Gibraltarian</t>
  </si>
  <si>
    <t>Saint Peter Port</t>
  </si>
  <si>
    <t>Giernésiais or Giernésiaise</t>
  </si>
  <si>
    <t>of Great Britain and Northern Ireland</t>
  </si>
  <si>
    <t>the UK</t>
  </si>
  <si>
    <t>the Gabonese Republic</t>
  </si>
  <si>
    <t>the Federated States of</t>
  </si>
  <si>
    <t>the Faroes</t>
  </si>
  <si>
    <t>Tórshavn</t>
  </si>
  <si>
    <t>the French Republic</t>
  </si>
  <si>
    <t>the Falklands</t>
  </si>
  <si>
    <t>Falkland Islander</t>
  </si>
  <si>
    <t>the Fiji Islands</t>
  </si>
  <si>
    <t>the Sahrawi Arab Democratic Republic or the Sahrawi Republic</t>
  </si>
  <si>
    <t>Laayoune</t>
  </si>
  <si>
    <t>the Arab Republic of</t>
  </si>
  <si>
    <t>the People's Democratic Republic of</t>
  </si>
  <si>
    <t>Djibouti City</t>
  </si>
  <si>
    <t>Christmas Islander</t>
  </si>
  <si>
    <t>the Country of</t>
  </si>
  <si>
    <t>Curaçaoan</t>
  </si>
  <si>
    <t>San José</t>
  </si>
  <si>
    <t>Cape Verdean</t>
  </si>
  <si>
    <t>the Union of the</t>
  </si>
  <si>
    <t>Comorian</t>
  </si>
  <si>
    <t>Cook Islander</t>
  </si>
  <si>
    <t>Congo-Brazzaville or the Congo Republic</t>
  </si>
  <si>
    <t>DR Congo or Congo-Kinshasa</t>
  </si>
  <si>
    <t>Yaoundé</t>
  </si>
  <si>
    <t>the Republic of Côte d'Ivoire</t>
  </si>
  <si>
    <t>the People's Republic of</t>
  </si>
  <si>
    <t>the Swiss Confederation</t>
  </si>
  <si>
    <t>the Cocos Islands or the Keeling Islands</t>
  </si>
  <si>
    <t>Cocos Islander</t>
  </si>
  <si>
    <t>Batswana or Motswana</t>
  </si>
  <si>
    <t>Darussalam</t>
  </si>
  <si>
    <t>the Federative Republic of</t>
  </si>
  <si>
    <t>Brasília</t>
  </si>
  <si>
    <t>the Plurinational State of</t>
  </si>
  <si>
    <t>St. Barts or St. Barths or St. Barth</t>
  </si>
  <si>
    <t>Barthélemois</t>
  </si>
  <si>
    <t>Bosnia-Herzegovina</t>
  </si>
  <si>
    <t>the Commonwealth of The</t>
  </si>
  <si>
    <t>Burkinabé</t>
  </si>
  <si>
    <t>the Carribean Netherlands</t>
  </si>
  <si>
    <t>French Southern and Antarctic Lands</t>
  </si>
  <si>
    <t>the French Southern Lands or the French Southern Territories or the Kerguelen Islands</t>
  </si>
  <si>
    <t>the Argentine Republic</t>
  </si>
  <si>
    <t>the Emirates</t>
  </si>
  <si>
    <t>Ålandic or Ålandish</t>
  </si>
  <si>
    <t>Åland</t>
  </si>
  <si>
    <t>the Islamic Emirate of</t>
  </si>
  <si>
    <t>fips</t>
  </si>
  <si>
    <t>AA</t>
  </si>
  <si>
    <t>AN</t>
  </si>
  <si>
    <t>AV</t>
  </si>
  <si>
    <t>AY</t>
  </si>
  <si>
    <t>AC</t>
  </si>
  <si>
    <t>AJ</t>
  </si>
  <si>
    <t>BK</t>
  </si>
  <si>
    <t>BC</t>
  </si>
  <si>
    <t>BX</t>
  </si>
  <si>
    <t>BU</t>
  </si>
  <si>
    <t>CE</t>
  </si>
  <si>
    <t>CB</t>
  </si>
  <si>
    <t>CJ</t>
  </si>
  <si>
    <t>CT</t>
  </si>
  <si>
    <t>CS</t>
  </si>
  <si>
    <t>DA</t>
  </si>
  <si>
    <t>DR</t>
  </si>
  <si>
    <t>EK</t>
  </si>
  <si>
    <t>EN</t>
  </si>
  <si>
    <t>EZ</t>
  </si>
  <si>
    <t>FG</t>
  </si>
  <si>
    <t>FP</t>
  </si>
  <si>
    <t>FS</t>
  </si>
  <si>
    <t>GJ</t>
  </si>
  <si>
    <t>GK</t>
  </si>
  <si>
    <t>GV</t>
  </si>
  <si>
    <t>HA</t>
  </si>
  <si>
    <t>HO</t>
  </si>
  <si>
    <t>IC</t>
  </si>
  <si>
    <t>IZ</t>
  </si>
  <si>
    <t>EI</t>
  </si>
  <si>
    <t>IV</t>
  </si>
  <si>
    <t>JA</t>
  </si>
  <si>
    <t>KV</t>
  </si>
  <si>
    <t>KU</t>
  </si>
  <si>
    <t>LG</t>
  </si>
  <si>
    <t>LE</t>
  </si>
  <si>
    <t>LH</t>
  </si>
  <si>
    <t>MI</t>
  </si>
  <si>
    <t>MB</t>
  </si>
  <si>
    <t>MJ</t>
  </si>
  <si>
    <t>WA</t>
  </si>
  <si>
    <t>RM</t>
  </si>
  <si>
    <t>VT</t>
  </si>
  <si>
    <t>PU</t>
  </si>
  <si>
    <t>WZ</t>
  </si>
  <si>
    <t>UC</t>
  </si>
  <si>
    <t>KT</t>
  </si>
  <si>
    <t>UV</t>
  </si>
  <si>
    <t>NT</t>
  </si>
  <si>
    <t>RP</t>
  </si>
  <si>
    <t>CQ</t>
  </si>
  <si>
    <t>RN</t>
  </si>
  <si>
    <t>PP</t>
  </si>
  <si>
    <t>PC</t>
  </si>
  <si>
    <t>PO</t>
  </si>
  <si>
    <t>RQ</t>
  </si>
  <si>
    <t>NN</t>
  </si>
  <si>
    <t>SP</t>
  </si>
  <si>
    <t>SF</t>
  </si>
  <si>
    <t>SU</t>
  </si>
  <si>
    <t>SW</t>
  </si>
  <si>
    <t>TI</t>
  </si>
  <si>
    <t>TS</t>
  </si>
  <si>
    <t>TU</t>
  </si>
  <si>
    <t>TX</t>
  </si>
  <si>
    <t>UP</t>
  </si>
  <si>
    <t>VQ</t>
  </si>
  <si>
    <t>VM</t>
  </si>
  <si>
    <t>WI</t>
  </si>
  <si>
    <t>YM</t>
  </si>
  <si>
    <t>ZI</t>
  </si>
  <si>
    <t>NH</t>
  </si>
  <si>
    <t>UK</t>
  </si>
  <si>
    <t>OD</t>
  </si>
  <si>
    <t>KS</t>
  </si>
  <si>
    <t>BP</t>
  </si>
  <si>
    <t>LO</t>
  </si>
  <si>
    <t>TP</t>
  </si>
  <si>
    <t>TB</t>
  </si>
  <si>
    <t>RB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</si>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</sst>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51F5-51F3-4426-9005-29646C2C6671}">
  <dimension ref="A1:P251"/>
  <sheetViews>
    <sheetView tabSelected="1" workbookViewId="0">
      <pane ySplit="1" topLeftCell="A177" activePane="bottomLeft" state="frozen"/>
      <selection pane="bottomLeft" activeCell="H197" sqref="H197"/>
    </sheetView>
  </sheetViews>
  <sheetFormatPr defaultRowHeight="15" x14ac:dyDescent="0.25"/>
  <cols>
    <col min="1" max="1" width="42.140625" customWidth="1"/>
    <col min="2" max="3" width="33.42578125" customWidth="1"/>
    <col min="4" max="4" width="41.140625" customWidth="1"/>
    <col min="5" max="6" width="7" customWidth="1"/>
    <col min="7" max="7" width="6.5703125" customWidth="1"/>
    <col min="8" max="8" width="19.85546875" customWidth="1"/>
    <col min="9" max="9" width="9.28515625" customWidth="1"/>
    <col min="10" max="10" width="25.140625" customWidth="1"/>
    <col min="11" max="11" width="38" customWidth="1"/>
    <col min="12" max="12" width="13.7109375" bestFit="1" customWidth="1"/>
    <col min="13" max="13" width="11.7109375" bestFit="1" customWidth="1"/>
    <col min="14" max="14" width="11.7109375" customWidth="1"/>
    <col min="15" max="15" width="12.7109375" customWidth="1"/>
    <col min="16" max="16" width="9" bestFit="1" customWidth="1"/>
  </cols>
  <sheetData>
    <row r="1" spans="1:16" x14ac:dyDescent="0.25">
      <c r="A1" t="s">
        <v>0</v>
      </c>
      <c r="B1" t="s">
        <v>1189</v>
      </c>
      <c r="C1" t="s">
        <v>1190</v>
      </c>
      <c r="D1" t="s">
        <v>1192</v>
      </c>
      <c r="E1" t="s">
        <v>1</v>
      </c>
      <c r="F1" t="s">
        <v>2</v>
      </c>
      <c r="G1" t="s">
        <v>1373</v>
      </c>
      <c r="H1" t="s">
        <v>3</v>
      </c>
      <c r="I1" t="s">
        <v>5</v>
      </c>
      <c r="J1" t="s">
        <v>6</v>
      </c>
      <c r="K1" t="s">
        <v>1222</v>
      </c>
      <c r="L1" t="s">
        <v>4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5">
      <c r="A2" s="1" t="s">
        <v>11</v>
      </c>
      <c r="B2" s="1" t="s">
        <v>1372</v>
      </c>
      <c r="C2" s="1"/>
      <c r="D2" s="1"/>
      <c r="E2" s="1" t="s">
        <v>12</v>
      </c>
      <c r="F2" s="1" t="s">
        <v>13</v>
      </c>
      <c r="G2" s="1" t="s">
        <v>13</v>
      </c>
      <c r="H2" s="1" t="s">
        <v>14</v>
      </c>
      <c r="I2" s="1" t="s">
        <v>15</v>
      </c>
      <c r="J2" s="1" t="s">
        <v>16</v>
      </c>
      <c r="K2" t="s">
        <v>17</v>
      </c>
      <c r="L2">
        <v>43844000</v>
      </c>
      <c r="M2" s="3">
        <v>647500</v>
      </c>
      <c r="N2">
        <v>3300000000</v>
      </c>
      <c r="O2">
        <v>6500000000</v>
      </c>
    </row>
    <row r="3" spans="1:16" x14ac:dyDescent="0.25">
      <c r="A3" s="1" t="s">
        <v>1371</v>
      </c>
      <c r="B3" s="1" t="s">
        <v>1188</v>
      </c>
      <c r="C3" s="1" t="s">
        <v>1204</v>
      </c>
      <c r="D3" s="1"/>
      <c r="E3" s="1" t="s">
        <v>18</v>
      </c>
      <c r="F3" s="1" t="s">
        <v>19</v>
      </c>
      <c r="G3" s="1" t="s">
        <v>19</v>
      </c>
      <c r="H3" s="1" t="s">
        <v>20</v>
      </c>
      <c r="I3" s="1" t="s">
        <v>21</v>
      </c>
      <c r="J3" s="1" t="s">
        <v>22</v>
      </c>
      <c r="K3" t="s">
        <v>1370</v>
      </c>
      <c r="L3">
        <v>30654</v>
      </c>
      <c r="M3" s="3">
        <v>1580</v>
      </c>
      <c r="N3">
        <v>6011666700</v>
      </c>
      <c r="O3">
        <v>1990000000</v>
      </c>
    </row>
    <row r="4" spans="1:16" x14ac:dyDescent="0.25">
      <c r="A4" s="1" t="s">
        <v>23</v>
      </c>
      <c r="B4" s="1" t="s">
        <v>1202</v>
      </c>
      <c r="C4" s="1"/>
      <c r="D4" s="1"/>
      <c r="E4" s="1" t="s">
        <v>24</v>
      </c>
      <c r="F4" s="1" t="s">
        <v>25</v>
      </c>
      <c r="G4" s="1" t="s">
        <v>25</v>
      </c>
      <c r="H4" s="1" t="s">
        <v>26</v>
      </c>
      <c r="I4" s="1" t="s">
        <v>21</v>
      </c>
      <c r="J4" s="1" t="s">
        <v>27</v>
      </c>
      <c r="K4" t="s">
        <v>28</v>
      </c>
      <c r="L4">
        <v>2335930</v>
      </c>
      <c r="M4" s="3">
        <v>28748</v>
      </c>
      <c r="N4">
        <v>4100000000</v>
      </c>
      <c r="O4">
        <v>2000000000</v>
      </c>
      <c r="P4">
        <v>28372</v>
      </c>
    </row>
    <row r="5" spans="1:16" x14ac:dyDescent="0.25">
      <c r="A5" s="1" t="s">
        <v>29</v>
      </c>
      <c r="B5" s="1" t="s">
        <v>1337</v>
      </c>
      <c r="C5" s="1"/>
      <c r="D5" s="1"/>
      <c r="E5" s="1" t="s">
        <v>30</v>
      </c>
      <c r="F5" s="1" t="s">
        <v>31</v>
      </c>
      <c r="G5" s="1" t="s">
        <v>68</v>
      </c>
      <c r="H5" s="1" t="s">
        <v>32</v>
      </c>
      <c r="I5" s="1" t="s">
        <v>33</v>
      </c>
      <c r="J5" s="1" t="s">
        <v>34</v>
      </c>
      <c r="K5" t="s">
        <v>35</v>
      </c>
      <c r="L5">
        <v>47400000</v>
      </c>
      <c r="M5" s="3">
        <v>2381740</v>
      </c>
      <c r="N5">
        <v>2800000000</v>
      </c>
      <c r="O5">
        <v>300000000</v>
      </c>
      <c r="P5">
        <v>268885</v>
      </c>
    </row>
    <row r="6" spans="1:16" x14ac:dyDescent="0.25">
      <c r="A6" s="1" t="s">
        <v>36</v>
      </c>
      <c r="B6" s="1"/>
      <c r="C6" s="1"/>
      <c r="D6" s="1"/>
      <c r="E6" s="1" t="s">
        <v>37</v>
      </c>
      <c r="F6" s="1" t="s">
        <v>38</v>
      </c>
      <c r="G6" s="1" t="s">
        <v>63</v>
      </c>
      <c r="H6" s="1" t="s">
        <v>39</v>
      </c>
      <c r="I6" s="1" t="s">
        <v>40</v>
      </c>
      <c r="J6" s="1" t="s">
        <v>41</v>
      </c>
      <c r="K6" t="s">
        <v>42</v>
      </c>
      <c r="L6">
        <v>49710</v>
      </c>
      <c r="M6" s="3">
        <v>199</v>
      </c>
      <c r="N6">
        <v>-1433333333</v>
      </c>
      <c r="O6">
        <v>-17000000000</v>
      </c>
    </row>
    <row r="7" spans="1:16" x14ac:dyDescent="0.25">
      <c r="A7" s="1" t="s">
        <v>43</v>
      </c>
      <c r="B7" s="1" t="s">
        <v>1267</v>
      </c>
      <c r="C7" s="1"/>
      <c r="D7" s="1"/>
      <c r="E7" s="1" t="s">
        <v>44</v>
      </c>
      <c r="F7" s="1" t="s">
        <v>45</v>
      </c>
      <c r="G7" s="1" t="s">
        <v>1375</v>
      </c>
      <c r="H7" s="1" t="s">
        <v>46</v>
      </c>
      <c r="I7" s="1" t="s">
        <v>21</v>
      </c>
      <c r="J7" s="1" t="s">
        <v>27</v>
      </c>
      <c r="K7" t="s">
        <v>47</v>
      </c>
      <c r="L7">
        <v>89484</v>
      </c>
      <c r="M7" s="3">
        <v>468</v>
      </c>
      <c r="N7">
        <v>4250000000</v>
      </c>
      <c r="O7">
        <v>150000000</v>
      </c>
      <c r="P7">
        <v>4035</v>
      </c>
    </row>
    <row r="8" spans="1:16" x14ac:dyDescent="0.25">
      <c r="A8" s="1" t="s">
        <v>48</v>
      </c>
      <c r="B8" s="1" t="s">
        <v>1202</v>
      </c>
      <c r="C8" s="1"/>
      <c r="D8" s="1"/>
      <c r="E8" s="1" t="s">
        <v>49</v>
      </c>
      <c r="F8" s="1" t="s">
        <v>50</v>
      </c>
      <c r="G8" s="1" t="s">
        <v>50</v>
      </c>
      <c r="H8" s="1" t="s">
        <v>51</v>
      </c>
      <c r="I8" s="1" t="s">
        <v>33</v>
      </c>
      <c r="J8" s="1" t="s">
        <v>52</v>
      </c>
      <c r="K8" t="s">
        <v>53</v>
      </c>
      <c r="L8">
        <v>38778554</v>
      </c>
      <c r="M8" s="3">
        <v>1246700</v>
      </c>
      <c r="N8">
        <v>-1250000000</v>
      </c>
      <c r="O8">
        <v>1850000000</v>
      </c>
      <c r="P8">
        <v>113343</v>
      </c>
    </row>
    <row r="9" spans="1:16" x14ac:dyDescent="0.25">
      <c r="A9" s="1" t="s">
        <v>54</v>
      </c>
      <c r="B9" s="1"/>
      <c r="C9" s="1"/>
      <c r="D9" s="1"/>
      <c r="E9" s="1" t="s">
        <v>55</v>
      </c>
      <c r="F9" s="1" t="s">
        <v>56</v>
      </c>
      <c r="G9" s="1" t="s">
        <v>1376</v>
      </c>
      <c r="H9" s="1" t="s">
        <v>57</v>
      </c>
      <c r="I9" s="1" t="s">
        <v>58</v>
      </c>
      <c r="J9" s="1" t="s">
        <v>59</v>
      </c>
      <c r="K9" t="s">
        <v>60</v>
      </c>
      <c r="L9">
        <v>16010</v>
      </c>
      <c r="M9" s="3">
        <v>102</v>
      </c>
      <c r="N9">
        <v>1825000000</v>
      </c>
      <c r="O9">
        <v>-6316666666</v>
      </c>
    </row>
    <row r="10" spans="1:16" x14ac:dyDescent="0.25">
      <c r="A10" s="1" t="s">
        <v>61</v>
      </c>
      <c r="B10" s="1"/>
      <c r="C10" s="1"/>
      <c r="D10" s="1"/>
      <c r="E10" s="1" t="s">
        <v>62</v>
      </c>
      <c r="F10" s="1" t="s">
        <v>63</v>
      </c>
      <c r="G10" s="1" t="s">
        <v>1377</v>
      </c>
      <c r="H10" s="1" t="e">
        <f>NA()</f>
        <v>#N/A</v>
      </c>
      <c r="I10" s="1" t="s">
        <v>64</v>
      </c>
      <c r="J10" s="1" t="e">
        <f>NA()</f>
        <v>#N/A</v>
      </c>
      <c r="K10" t="s">
        <v>65</v>
      </c>
      <c r="L10">
        <v>2000</v>
      </c>
      <c r="M10">
        <v>14200000</v>
      </c>
      <c r="N10">
        <v>-7465000000</v>
      </c>
      <c r="O10">
        <v>448000000</v>
      </c>
    </row>
    <row r="11" spans="1:16" x14ac:dyDescent="0.25">
      <c r="A11" s="1" t="s">
        <v>66</v>
      </c>
      <c r="B11" s="1"/>
      <c r="C11" s="1"/>
      <c r="D11" s="1"/>
      <c r="E11" s="1" t="s">
        <v>67</v>
      </c>
      <c r="F11" s="1" t="s">
        <v>68</v>
      </c>
      <c r="G11" s="1" t="s">
        <v>1378</v>
      </c>
      <c r="H11" s="1" t="s">
        <v>69</v>
      </c>
      <c r="I11" s="1" t="s">
        <v>58</v>
      </c>
      <c r="J11" s="1" t="s">
        <v>59</v>
      </c>
      <c r="K11" t="s">
        <v>70</v>
      </c>
      <c r="L11">
        <v>103603</v>
      </c>
      <c r="M11" s="3">
        <v>443</v>
      </c>
      <c r="N11">
        <v>1705000000</v>
      </c>
      <c r="O11">
        <v>-6180000000</v>
      </c>
      <c r="P11">
        <v>2373</v>
      </c>
    </row>
    <row r="12" spans="1:16" x14ac:dyDescent="0.25">
      <c r="A12" s="1" t="s">
        <v>71</v>
      </c>
      <c r="B12" s="1"/>
      <c r="C12" s="1"/>
      <c r="D12" s="1" t="s">
        <v>1368</v>
      </c>
      <c r="E12" s="1" t="s">
        <v>72</v>
      </c>
      <c r="F12" s="1" t="s">
        <v>73</v>
      </c>
      <c r="G12" s="1" t="s">
        <v>73</v>
      </c>
      <c r="H12" s="1" t="s">
        <v>74</v>
      </c>
      <c r="I12" s="1" t="s">
        <v>58</v>
      </c>
      <c r="J12" s="1" t="s">
        <v>75</v>
      </c>
      <c r="K12" t="s">
        <v>76</v>
      </c>
      <c r="L12">
        <v>46387098</v>
      </c>
      <c r="M12" s="3">
        <v>2766890</v>
      </c>
      <c r="N12">
        <v>-3400000000</v>
      </c>
      <c r="O12">
        <v>-6400000000</v>
      </c>
      <c r="P12">
        <v>683533</v>
      </c>
    </row>
    <row r="13" spans="1:16" x14ac:dyDescent="0.25">
      <c r="A13" s="1" t="s">
        <v>77</v>
      </c>
      <c r="B13" s="1" t="s">
        <v>1202</v>
      </c>
      <c r="C13" s="1"/>
      <c r="D13" s="1"/>
      <c r="E13" s="1" t="s">
        <v>78</v>
      </c>
      <c r="F13" s="1" t="s">
        <v>79</v>
      </c>
      <c r="G13" s="1" t="s">
        <v>79</v>
      </c>
      <c r="H13" s="1" t="s">
        <v>80</v>
      </c>
      <c r="I13" s="1" t="s">
        <v>15</v>
      </c>
      <c r="J13" s="1" t="s">
        <v>81</v>
      </c>
      <c r="K13" t="s">
        <v>82</v>
      </c>
      <c r="L13">
        <v>3096900</v>
      </c>
      <c r="M13" s="3">
        <v>29800</v>
      </c>
      <c r="N13">
        <v>4000000000</v>
      </c>
      <c r="O13">
        <v>4500000000</v>
      </c>
      <c r="P13">
        <v>26258</v>
      </c>
    </row>
    <row r="14" spans="1:16" x14ac:dyDescent="0.25">
      <c r="A14" s="1" t="s">
        <v>83</v>
      </c>
      <c r="B14" s="1" t="s">
        <v>1340</v>
      </c>
      <c r="C14" s="1"/>
      <c r="D14" s="1"/>
      <c r="E14" s="1" t="s">
        <v>84</v>
      </c>
      <c r="F14" s="1" t="s">
        <v>85</v>
      </c>
      <c r="G14" s="1" t="s">
        <v>1374</v>
      </c>
      <c r="H14" s="1" t="s">
        <v>86</v>
      </c>
      <c r="I14" s="1" t="s">
        <v>58</v>
      </c>
      <c r="J14" s="1" t="s">
        <v>59</v>
      </c>
      <c r="K14" t="s">
        <v>87</v>
      </c>
      <c r="L14">
        <v>110625</v>
      </c>
      <c r="M14" s="3">
        <v>193</v>
      </c>
      <c r="N14">
        <v>1250000000</v>
      </c>
      <c r="O14">
        <v>-6996666666</v>
      </c>
      <c r="P14">
        <v>4100</v>
      </c>
    </row>
    <row r="15" spans="1:16" x14ac:dyDescent="0.25">
      <c r="A15" s="1" t="s">
        <v>88</v>
      </c>
      <c r="B15" s="1" t="s">
        <v>1283</v>
      </c>
      <c r="C15" s="1"/>
      <c r="D15" s="1"/>
      <c r="E15" s="1" t="s">
        <v>89</v>
      </c>
      <c r="F15" s="1" t="s">
        <v>90</v>
      </c>
      <c r="G15" s="1" t="s">
        <v>38</v>
      </c>
      <c r="H15" s="1" t="s">
        <v>91</v>
      </c>
      <c r="I15" s="1" t="s">
        <v>40</v>
      </c>
      <c r="J15" s="1" t="s">
        <v>92</v>
      </c>
      <c r="K15" t="s">
        <v>93</v>
      </c>
      <c r="L15">
        <v>27801023</v>
      </c>
      <c r="M15" s="3">
        <v>7686850</v>
      </c>
      <c r="N15">
        <v>-2700000000</v>
      </c>
      <c r="O15">
        <v>13300000000</v>
      </c>
      <c r="P15">
        <v>1771681</v>
      </c>
    </row>
    <row r="16" spans="1:16" x14ac:dyDescent="0.25">
      <c r="A16" s="1" t="s">
        <v>94</v>
      </c>
      <c r="B16" s="1" t="s">
        <v>1202</v>
      </c>
      <c r="C16" s="1"/>
      <c r="D16" s="1"/>
      <c r="E16" s="1" t="s">
        <v>95</v>
      </c>
      <c r="F16" s="1" t="s">
        <v>96</v>
      </c>
      <c r="G16" s="1" t="s">
        <v>90</v>
      </c>
      <c r="H16" s="1" t="s">
        <v>97</v>
      </c>
      <c r="I16" s="1" t="s">
        <v>21</v>
      </c>
      <c r="J16" s="1" t="s">
        <v>98</v>
      </c>
      <c r="K16" t="s">
        <v>99</v>
      </c>
      <c r="L16">
        <v>9220882</v>
      </c>
      <c r="M16" s="3">
        <v>83858</v>
      </c>
      <c r="N16">
        <v>4733333333</v>
      </c>
      <c r="O16">
        <v>1333333333</v>
      </c>
      <c r="P16">
        <v>534301</v>
      </c>
    </row>
    <row r="17" spans="1:16" x14ac:dyDescent="0.25">
      <c r="A17" s="1" t="s">
        <v>100</v>
      </c>
      <c r="B17" s="1" t="s">
        <v>1202</v>
      </c>
      <c r="C17" s="1"/>
      <c r="D17" s="1"/>
      <c r="E17" s="1" t="s">
        <v>101</v>
      </c>
      <c r="F17" s="1" t="s">
        <v>102</v>
      </c>
      <c r="G17" s="1" t="s">
        <v>1379</v>
      </c>
      <c r="H17" s="1" t="s">
        <v>103</v>
      </c>
      <c r="I17" s="1" t="s">
        <v>15</v>
      </c>
      <c r="J17" s="1" t="s">
        <v>81</v>
      </c>
      <c r="K17" t="s">
        <v>104</v>
      </c>
      <c r="L17">
        <v>10266627</v>
      </c>
      <c r="M17">
        <v>86600</v>
      </c>
    </row>
    <row r="18" spans="1:16" x14ac:dyDescent="0.25">
      <c r="A18" s="1" t="s">
        <v>1191</v>
      </c>
      <c r="B18" s="1" t="s">
        <v>1363</v>
      </c>
      <c r="C18" s="1"/>
      <c r="D18" s="1"/>
      <c r="E18" s="1" t="s">
        <v>1044</v>
      </c>
      <c r="F18" s="1" t="s">
        <v>1045</v>
      </c>
      <c r="G18" s="1" t="s">
        <v>194</v>
      </c>
      <c r="H18" s="1" t="s">
        <v>1046</v>
      </c>
      <c r="I18" s="1" t="s">
        <v>58</v>
      </c>
      <c r="J18" s="1" t="s">
        <v>59</v>
      </c>
      <c r="K18" t="s">
        <v>1047</v>
      </c>
      <c r="L18">
        <v>398165</v>
      </c>
      <c r="M18" s="3">
        <v>13940</v>
      </c>
      <c r="N18">
        <v>2425000000</v>
      </c>
      <c r="O18">
        <v>-7600000000</v>
      </c>
    </row>
    <row r="19" spans="1:16" x14ac:dyDescent="0.25">
      <c r="A19" s="1" t="s">
        <v>105</v>
      </c>
      <c r="B19" s="1" t="s">
        <v>1261</v>
      </c>
      <c r="C19" s="1"/>
      <c r="D19" s="1"/>
      <c r="E19" s="1" t="s">
        <v>106</v>
      </c>
      <c r="F19" s="1" t="s">
        <v>107</v>
      </c>
      <c r="G19" s="1" t="s">
        <v>161</v>
      </c>
      <c r="H19" s="1" t="s">
        <v>108</v>
      </c>
      <c r="I19" s="1" t="s">
        <v>15</v>
      </c>
      <c r="J19" s="1" t="s">
        <v>81</v>
      </c>
      <c r="K19" t="s">
        <v>109</v>
      </c>
      <c r="L19">
        <v>1603260</v>
      </c>
      <c r="M19" s="3">
        <v>665</v>
      </c>
      <c r="N19">
        <v>2600000000</v>
      </c>
      <c r="O19">
        <v>5055000000</v>
      </c>
      <c r="P19">
        <v>47829</v>
      </c>
    </row>
    <row r="20" spans="1:16" x14ac:dyDescent="0.25">
      <c r="A20" s="1" t="s">
        <v>110</v>
      </c>
      <c r="B20" s="1" t="s">
        <v>1351</v>
      </c>
      <c r="C20" s="1"/>
      <c r="D20" s="1"/>
      <c r="E20" s="1" t="s">
        <v>111</v>
      </c>
      <c r="F20" s="1" t="s">
        <v>112</v>
      </c>
      <c r="G20" s="1" t="s">
        <v>189</v>
      </c>
      <c r="H20" s="1" t="s">
        <v>113</v>
      </c>
      <c r="I20" s="1" t="s">
        <v>15</v>
      </c>
      <c r="J20" s="1" t="s">
        <v>16</v>
      </c>
      <c r="K20" t="s">
        <v>114</v>
      </c>
      <c r="L20">
        <v>169828911</v>
      </c>
      <c r="M20" s="3">
        <v>144000</v>
      </c>
      <c r="N20">
        <v>2400000000</v>
      </c>
      <c r="O20">
        <v>9000000000</v>
      </c>
      <c r="P20">
        <v>467218</v>
      </c>
    </row>
    <row r="21" spans="1:16" x14ac:dyDescent="0.25">
      <c r="A21" s="1" t="s">
        <v>115</v>
      </c>
      <c r="B21" s="1"/>
      <c r="C21" s="1"/>
      <c r="D21" s="1"/>
      <c r="E21" s="1" t="s">
        <v>116</v>
      </c>
      <c r="F21" s="1" t="s">
        <v>117</v>
      </c>
      <c r="G21" s="1" t="s">
        <v>117</v>
      </c>
      <c r="H21" s="1" t="s">
        <v>118</v>
      </c>
      <c r="I21" s="1" t="s">
        <v>58</v>
      </c>
      <c r="J21" s="1" t="s">
        <v>59</v>
      </c>
      <c r="K21" t="s">
        <v>119</v>
      </c>
      <c r="L21">
        <v>261692</v>
      </c>
      <c r="M21" s="3">
        <v>431</v>
      </c>
      <c r="N21">
        <v>1316666666</v>
      </c>
      <c r="O21">
        <v>-5953333333</v>
      </c>
      <c r="P21">
        <v>7552</v>
      </c>
    </row>
    <row r="22" spans="1:16" x14ac:dyDescent="0.25">
      <c r="A22" s="1" t="s">
        <v>120</v>
      </c>
      <c r="B22" s="1" t="s">
        <v>1202</v>
      </c>
      <c r="C22" s="1"/>
      <c r="D22" s="1"/>
      <c r="E22" s="1" t="s">
        <v>121</v>
      </c>
      <c r="F22" s="1" t="s">
        <v>122</v>
      </c>
      <c r="G22" s="1" t="s">
        <v>156</v>
      </c>
      <c r="H22" s="1" t="s">
        <v>123</v>
      </c>
      <c r="I22" s="1" t="s">
        <v>21</v>
      </c>
      <c r="J22" s="1" t="s">
        <v>124</v>
      </c>
      <c r="K22" t="s">
        <v>125</v>
      </c>
      <c r="L22">
        <v>9056080</v>
      </c>
      <c r="M22" s="3">
        <v>207600</v>
      </c>
      <c r="N22">
        <v>5300000000</v>
      </c>
      <c r="O22">
        <v>2800000000</v>
      </c>
      <c r="P22">
        <v>71561</v>
      </c>
    </row>
    <row r="23" spans="1:16" x14ac:dyDescent="0.25">
      <c r="A23" s="1" t="s">
        <v>126</v>
      </c>
      <c r="B23" s="1" t="s">
        <v>1261</v>
      </c>
      <c r="C23" s="1"/>
      <c r="D23" s="1"/>
      <c r="E23" s="1" t="s">
        <v>127</v>
      </c>
      <c r="F23" s="1" t="s">
        <v>128</v>
      </c>
      <c r="G23" s="1" t="s">
        <v>128</v>
      </c>
      <c r="H23" s="1" t="s">
        <v>129</v>
      </c>
      <c r="I23" s="1" t="s">
        <v>21</v>
      </c>
      <c r="J23" s="1" t="s">
        <v>98</v>
      </c>
      <c r="K23" t="s">
        <v>130</v>
      </c>
      <c r="L23">
        <v>11936546</v>
      </c>
      <c r="M23" s="3">
        <v>30510</v>
      </c>
      <c r="N23">
        <v>5083333333</v>
      </c>
      <c r="O23">
        <v>400000000</v>
      </c>
      <c r="P23">
        <v>684864</v>
      </c>
    </row>
    <row r="24" spans="1:16" x14ac:dyDescent="0.25">
      <c r="A24" s="1" t="s">
        <v>131</v>
      </c>
      <c r="B24" s="1"/>
      <c r="C24" s="1"/>
      <c r="D24" s="1"/>
      <c r="E24" s="1" t="s">
        <v>132</v>
      </c>
      <c r="F24" s="1" t="s">
        <v>133</v>
      </c>
      <c r="G24" s="1" t="s">
        <v>107</v>
      </c>
      <c r="H24" s="1" t="s">
        <v>134</v>
      </c>
      <c r="I24" s="1" t="s">
        <v>58</v>
      </c>
      <c r="J24" s="1" t="s">
        <v>135</v>
      </c>
      <c r="K24" t="s">
        <v>136</v>
      </c>
      <c r="L24">
        <v>417634</v>
      </c>
      <c r="M24" s="3">
        <v>22966</v>
      </c>
      <c r="N24">
        <v>1725000000</v>
      </c>
      <c r="O24">
        <v>-8875000000</v>
      </c>
      <c r="P24">
        <v>3611</v>
      </c>
    </row>
    <row r="25" spans="1:16" x14ac:dyDescent="0.25">
      <c r="A25" s="1" t="s">
        <v>137</v>
      </c>
      <c r="B25" s="1" t="s">
        <v>1202</v>
      </c>
      <c r="C25" s="1"/>
      <c r="D25" s="1"/>
      <c r="E25" s="1" t="s">
        <v>138</v>
      </c>
      <c r="F25" s="1" t="s">
        <v>139</v>
      </c>
      <c r="G25" s="1" t="s">
        <v>183</v>
      </c>
      <c r="H25" s="1" t="s">
        <v>140</v>
      </c>
      <c r="I25" s="1" t="s">
        <v>33</v>
      </c>
      <c r="J25" s="1" t="s">
        <v>141</v>
      </c>
      <c r="K25" t="s">
        <v>142</v>
      </c>
      <c r="L25">
        <v>13224860</v>
      </c>
      <c r="M25">
        <v>114763</v>
      </c>
    </row>
    <row r="26" spans="1:16" x14ac:dyDescent="0.25">
      <c r="A26" s="1" t="s">
        <v>143</v>
      </c>
      <c r="B26" s="1"/>
      <c r="C26" s="1"/>
      <c r="D26" s="1"/>
      <c r="E26" s="1" t="s">
        <v>144</v>
      </c>
      <c r="F26" s="1" t="s">
        <v>145</v>
      </c>
      <c r="G26" s="1" t="s">
        <v>112</v>
      </c>
      <c r="H26" s="1" t="s">
        <v>146</v>
      </c>
      <c r="I26" s="1" t="s">
        <v>58</v>
      </c>
      <c r="J26" s="1" t="s">
        <v>147</v>
      </c>
      <c r="K26" t="s">
        <v>148</v>
      </c>
      <c r="L26">
        <v>64055</v>
      </c>
      <c r="M26">
        <v>53</v>
      </c>
    </row>
    <row r="27" spans="1:16" x14ac:dyDescent="0.25">
      <c r="A27" s="1" t="s">
        <v>149</v>
      </c>
      <c r="B27" s="1" t="s">
        <v>1261</v>
      </c>
      <c r="C27" s="1"/>
      <c r="D27" s="1"/>
      <c r="E27" s="1" t="s">
        <v>150</v>
      </c>
      <c r="F27" s="1" t="s">
        <v>151</v>
      </c>
      <c r="G27" s="1" t="s">
        <v>151</v>
      </c>
      <c r="H27" s="1" t="s">
        <v>152</v>
      </c>
      <c r="I27" s="1" t="s">
        <v>15</v>
      </c>
      <c r="J27" s="1" t="s">
        <v>16</v>
      </c>
      <c r="K27" t="s">
        <v>153</v>
      </c>
      <c r="L27">
        <v>784043</v>
      </c>
      <c r="M27" s="3">
        <v>47000</v>
      </c>
      <c r="N27">
        <v>2750000000</v>
      </c>
      <c r="O27">
        <v>9050000000</v>
      </c>
      <c r="P27">
        <v>3422</v>
      </c>
    </row>
    <row r="28" spans="1:16" x14ac:dyDescent="0.25">
      <c r="A28" s="1" t="s">
        <v>154</v>
      </c>
      <c r="B28" s="1" t="s">
        <v>1359</v>
      </c>
      <c r="C28" s="1"/>
      <c r="D28" s="1"/>
      <c r="E28" s="1" t="s">
        <v>155</v>
      </c>
      <c r="F28" s="1" t="s">
        <v>156</v>
      </c>
      <c r="G28" s="1" t="s">
        <v>899</v>
      </c>
      <c r="H28" s="1" t="s">
        <v>157</v>
      </c>
      <c r="I28" s="1" t="s">
        <v>58</v>
      </c>
      <c r="J28" s="1" t="s">
        <v>75</v>
      </c>
      <c r="K28" t="s">
        <v>158</v>
      </c>
      <c r="L28">
        <v>11365333</v>
      </c>
      <c r="M28" s="3">
        <v>1098580</v>
      </c>
      <c r="N28">
        <v>-1700000000</v>
      </c>
      <c r="O28">
        <v>-6500000000</v>
      </c>
      <c r="P28">
        <v>56339</v>
      </c>
    </row>
    <row r="29" spans="1:16" x14ac:dyDescent="0.25">
      <c r="A29" s="1" t="s">
        <v>1184</v>
      </c>
      <c r="B29" s="1"/>
      <c r="C29" s="1"/>
      <c r="D29" s="1" t="s">
        <v>1365</v>
      </c>
      <c r="E29" s="1" t="s">
        <v>1185</v>
      </c>
      <c r="F29" s="1" t="s">
        <v>1186</v>
      </c>
      <c r="G29" s="1" t="s">
        <v>1423</v>
      </c>
      <c r="H29" s="1" t="e">
        <f>NA()</f>
        <v>#N/A</v>
      </c>
      <c r="I29" s="1" t="s">
        <v>58</v>
      </c>
      <c r="J29" s="1" t="s">
        <v>59</v>
      </c>
      <c r="K29" t="e">
        <f>NA()</f>
        <v>#N/A</v>
      </c>
      <c r="L29">
        <v>31980</v>
      </c>
      <c r="M29" s="3">
        <v>328</v>
      </c>
      <c r="N29">
        <v>1215000000</v>
      </c>
      <c r="O29">
        <v>-6826666700</v>
      </c>
    </row>
    <row r="30" spans="1:16" x14ac:dyDescent="0.25">
      <c r="A30" s="1" t="s">
        <v>159</v>
      </c>
      <c r="B30" s="1"/>
      <c r="C30" s="1"/>
      <c r="D30" s="1" t="s">
        <v>1362</v>
      </c>
      <c r="E30" s="1" t="s">
        <v>160</v>
      </c>
      <c r="F30" s="1" t="s">
        <v>161</v>
      </c>
      <c r="G30" s="1" t="s">
        <v>1380</v>
      </c>
      <c r="H30" s="1" t="s">
        <v>162</v>
      </c>
      <c r="I30" s="1" t="s">
        <v>21</v>
      </c>
      <c r="J30" s="1" t="s">
        <v>27</v>
      </c>
      <c r="K30" t="s">
        <v>163</v>
      </c>
      <c r="L30">
        <v>3412000</v>
      </c>
      <c r="M30" s="3">
        <v>51129</v>
      </c>
      <c r="N30">
        <v>4400000000</v>
      </c>
      <c r="O30">
        <v>1800000000</v>
      </c>
      <c r="P30">
        <v>28807</v>
      </c>
    </row>
    <row r="31" spans="1:16" x14ac:dyDescent="0.25">
      <c r="A31" s="1" t="s">
        <v>164</v>
      </c>
      <c r="B31" s="1" t="s">
        <v>1202</v>
      </c>
      <c r="C31" s="1"/>
      <c r="D31" s="1"/>
      <c r="E31" s="1" t="s">
        <v>165</v>
      </c>
      <c r="F31" s="1" t="s">
        <v>166</v>
      </c>
      <c r="G31" s="1" t="s">
        <v>1381</v>
      </c>
      <c r="H31" s="1" t="s">
        <v>167</v>
      </c>
      <c r="I31" s="1" t="s">
        <v>33</v>
      </c>
      <c r="J31" s="1" t="s">
        <v>168</v>
      </c>
      <c r="K31" t="s">
        <v>1355</v>
      </c>
      <c r="L31">
        <v>2359609</v>
      </c>
      <c r="M31">
        <v>581730</v>
      </c>
    </row>
    <row r="32" spans="1:16" x14ac:dyDescent="0.25">
      <c r="A32" s="1" t="s">
        <v>169</v>
      </c>
      <c r="B32" s="1"/>
      <c r="C32" s="1"/>
      <c r="D32" s="1"/>
      <c r="E32" s="1" t="s">
        <v>170</v>
      </c>
      <c r="F32" s="1" t="s">
        <v>171</v>
      </c>
      <c r="G32" s="1" t="s">
        <v>171</v>
      </c>
      <c r="H32" s="1" t="e">
        <f>NA()</f>
        <v>#N/A</v>
      </c>
      <c r="I32" s="1" t="e">
        <f>NA()</f>
        <v>#N/A</v>
      </c>
      <c r="J32" s="1" t="e">
        <f>NA()</f>
        <v>#N/A</v>
      </c>
      <c r="K32" t="s">
        <v>169</v>
      </c>
      <c r="L32">
        <v>0</v>
      </c>
      <c r="M32">
        <v>49</v>
      </c>
      <c r="N32">
        <v>-5443333333</v>
      </c>
      <c r="O32">
        <v>340000000</v>
      </c>
    </row>
    <row r="33" spans="1:16" x14ac:dyDescent="0.25">
      <c r="A33" s="1" t="s">
        <v>172</v>
      </c>
      <c r="B33" s="1" t="s">
        <v>1357</v>
      </c>
      <c r="C33" s="1"/>
      <c r="D33" s="1"/>
      <c r="E33" s="1" t="s">
        <v>173</v>
      </c>
      <c r="F33" s="1" t="s">
        <v>174</v>
      </c>
      <c r="G33" s="1" t="s">
        <v>174</v>
      </c>
      <c r="H33" s="1" t="s">
        <v>1358</v>
      </c>
      <c r="I33" s="1" t="s">
        <v>58</v>
      </c>
      <c r="J33" s="1" t="s">
        <v>75</v>
      </c>
      <c r="K33" t="s">
        <v>175</v>
      </c>
      <c r="L33">
        <v>213421037</v>
      </c>
      <c r="M33" s="3">
        <v>8511965</v>
      </c>
      <c r="N33">
        <v>-1000000000</v>
      </c>
      <c r="O33">
        <v>-5500000000</v>
      </c>
      <c r="P33">
        <v>2125958</v>
      </c>
    </row>
    <row r="34" spans="1:16" x14ac:dyDescent="0.25">
      <c r="A34" s="1" t="s">
        <v>176</v>
      </c>
      <c r="B34" s="1" t="s">
        <v>1188</v>
      </c>
      <c r="C34" s="1"/>
      <c r="D34" s="1"/>
      <c r="E34" s="1" t="s">
        <v>177</v>
      </c>
      <c r="F34" s="1" t="s">
        <v>178</v>
      </c>
      <c r="G34" s="1" t="s">
        <v>178</v>
      </c>
      <c r="H34" s="1" t="s">
        <v>179</v>
      </c>
      <c r="I34" s="1" t="s">
        <v>33</v>
      </c>
      <c r="J34" s="1" t="s">
        <v>180</v>
      </c>
      <c r="K34" t="e">
        <f>NA()</f>
        <v>#N/A</v>
      </c>
      <c r="L34">
        <v>6</v>
      </c>
      <c r="M34">
        <v>60</v>
      </c>
      <c r="N34">
        <v>-600000000</v>
      </c>
      <c r="O34">
        <v>7150000000</v>
      </c>
    </row>
    <row r="35" spans="1:16" x14ac:dyDescent="0.25">
      <c r="A35" s="1" t="s">
        <v>1219</v>
      </c>
      <c r="B35" s="1" t="s">
        <v>1188</v>
      </c>
      <c r="C35" s="1"/>
      <c r="D35" s="1" t="s">
        <v>1299</v>
      </c>
      <c r="E35" s="1" t="s">
        <v>1155</v>
      </c>
      <c r="F35" s="1" t="s">
        <v>1156</v>
      </c>
      <c r="G35" s="1" t="s">
        <v>1159</v>
      </c>
      <c r="H35" s="1" t="s">
        <v>1157</v>
      </c>
      <c r="I35" s="1" t="s">
        <v>58</v>
      </c>
      <c r="J35" s="1" t="s">
        <v>59</v>
      </c>
      <c r="K35" t="s">
        <v>1223</v>
      </c>
      <c r="L35">
        <v>39471</v>
      </c>
      <c r="M35" s="3">
        <v>153</v>
      </c>
      <c r="N35">
        <v>1843138300</v>
      </c>
      <c r="O35">
        <v>-6462305000</v>
      </c>
    </row>
    <row r="36" spans="1:16" x14ac:dyDescent="0.25">
      <c r="A36" s="1" t="s">
        <v>181</v>
      </c>
      <c r="B36" s="1"/>
      <c r="C36" s="1" t="s">
        <v>1356</v>
      </c>
      <c r="D36" s="1"/>
      <c r="E36" s="1" t="s">
        <v>182</v>
      </c>
      <c r="F36" s="1" t="s">
        <v>183</v>
      </c>
      <c r="G36" s="1" t="s">
        <v>1382</v>
      </c>
      <c r="H36" s="1" t="s">
        <v>184</v>
      </c>
      <c r="I36" s="1" t="s">
        <v>15</v>
      </c>
      <c r="J36" s="1" t="s">
        <v>185</v>
      </c>
      <c r="K36" t="s">
        <v>186</v>
      </c>
      <c r="L36">
        <v>458600</v>
      </c>
      <c r="M36" s="3">
        <v>5770</v>
      </c>
      <c r="N36">
        <v>450000000</v>
      </c>
      <c r="O36">
        <v>11466666666</v>
      </c>
      <c r="P36">
        <v>16007</v>
      </c>
    </row>
    <row r="37" spans="1:16" x14ac:dyDescent="0.25">
      <c r="A37" s="1" t="s">
        <v>187</v>
      </c>
      <c r="B37" s="1" t="s">
        <v>1202</v>
      </c>
      <c r="C37" s="1"/>
      <c r="D37" s="1"/>
      <c r="E37" s="1" t="s">
        <v>188</v>
      </c>
      <c r="F37" s="1" t="s">
        <v>189</v>
      </c>
      <c r="G37" s="1" t="s">
        <v>1383</v>
      </c>
      <c r="H37" s="1" t="s">
        <v>190</v>
      </c>
      <c r="I37" s="1" t="s">
        <v>21</v>
      </c>
      <c r="J37" s="1" t="s">
        <v>124</v>
      </c>
      <c r="K37" t="s">
        <v>191</v>
      </c>
      <c r="L37">
        <v>6423207</v>
      </c>
      <c r="M37" s="3">
        <v>110910</v>
      </c>
      <c r="N37">
        <v>4300000000</v>
      </c>
      <c r="O37">
        <v>2500000000</v>
      </c>
      <c r="P37">
        <v>117007</v>
      </c>
    </row>
    <row r="38" spans="1:16" x14ac:dyDescent="0.25">
      <c r="A38" s="1" t="s">
        <v>192</v>
      </c>
      <c r="B38" s="1"/>
      <c r="C38" s="1"/>
      <c r="D38" s="1"/>
      <c r="E38" s="1" t="s">
        <v>193</v>
      </c>
      <c r="F38" s="1" t="s">
        <v>194</v>
      </c>
      <c r="G38" s="1" t="s">
        <v>1422</v>
      </c>
      <c r="H38" s="1" t="s">
        <v>195</v>
      </c>
      <c r="I38" s="1" t="s">
        <v>33</v>
      </c>
      <c r="J38" s="1" t="s">
        <v>141</v>
      </c>
      <c r="K38" t="s">
        <v>1364</v>
      </c>
      <c r="L38">
        <v>24070553</v>
      </c>
      <c r="M38" s="3">
        <v>274200</v>
      </c>
      <c r="N38">
        <v>1300000000</v>
      </c>
      <c r="O38">
        <v>-200000000</v>
      </c>
      <c r="P38">
        <v>27056</v>
      </c>
    </row>
    <row r="39" spans="1:16" x14ac:dyDescent="0.25">
      <c r="A39" s="1" t="s">
        <v>196</v>
      </c>
      <c r="B39" s="1" t="s">
        <v>1202</v>
      </c>
      <c r="C39" s="1"/>
      <c r="D39" s="1"/>
      <c r="E39" s="1" t="s">
        <v>197</v>
      </c>
      <c r="F39" s="1" t="s">
        <v>198</v>
      </c>
      <c r="G39" s="1" t="s">
        <v>122</v>
      </c>
      <c r="H39" s="1" t="s">
        <v>199</v>
      </c>
      <c r="I39" s="1" t="s">
        <v>33</v>
      </c>
      <c r="J39" s="1" t="s">
        <v>180</v>
      </c>
      <c r="K39" t="s">
        <v>200</v>
      </c>
      <c r="L39">
        <v>12332788</v>
      </c>
      <c r="M39" s="3">
        <v>27830</v>
      </c>
      <c r="N39">
        <v>-350000000</v>
      </c>
      <c r="O39">
        <v>3000000000</v>
      </c>
      <c r="P39">
        <v>6745</v>
      </c>
    </row>
    <row r="40" spans="1:16" x14ac:dyDescent="0.25">
      <c r="A40" s="1" t="s">
        <v>1193</v>
      </c>
      <c r="B40" s="1" t="s">
        <v>1202</v>
      </c>
      <c r="C40" s="1"/>
      <c r="D40" s="1" t="s">
        <v>215</v>
      </c>
      <c r="E40" s="1" t="s">
        <v>216</v>
      </c>
      <c r="F40" s="1" t="s">
        <v>217</v>
      </c>
      <c r="G40" s="1" t="s">
        <v>217</v>
      </c>
      <c r="H40" s="1" t="s">
        <v>218</v>
      </c>
      <c r="I40" s="1" t="s">
        <v>33</v>
      </c>
      <c r="J40" s="1" t="s">
        <v>141</v>
      </c>
      <c r="K40" t="s">
        <v>1343</v>
      </c>
      <c r="L40">
        <v>491233</v>
      </c>
      <c r="M40" s="3">
        <v>4033</v>
      </c>
      <c r="N40">
        <v>1600000000</v>
      </c>
      <c r="O40">
        <v>-2400000000</v>
      </c>
      <c r="P40">
        <v>2786</v>
      </c>
    </row>
    <row r="41" spans="1:16" x14ac:dyDescent="0.25">
      <c r="A41" s="1" t="s">
        <v>201</v>
      </c>
      <c r="B41" s="1" t="s">
        <v>1261</v>
      </c>
      <c r="C41" s="1"/>
      <c r="D41" s="1"/>
      <c r="E41" s="1" t="s">
        <v>202</v>
      </c>
      <c r="F41" s="1" t="s">
        <v>203</v>
      </c>
      <c r="G41" s="1" t="s">
        <v>1385</v>
      </c>
      <c r="H41" s="1" t="s">
        <v>204</v>
      </c>
      <c r="I41" s="1" t="s">
        <v>15</v>
      </c>
      <c r="J41" s="1" t="s">
        <v>185</v>
      </c>
      <c r="K41" t="s">
        <v>205</v>
      </c>
      <c r="L41">
        <v>17577760</v>
      </c>
      <c r="M41" s="3">
        <v>181040</v>
      </c>
      <c r="N41">
        <v>1300000000</v>
      </c>
      <c r="O41">
        <v>10500000000</v>
      </c>
      <c r="P41">
        <v>49799</v>
      </c>
    </row>
    <row r="42" spans="1:16" x14ac:dyDescent="0.25">
      <c r="A42" s="1" t="s">
        <v>206</v>
      </c>
      <c r="B42" s="1" t="s">
        <v>1202</v>
      </c>
      <c r="C42" s="1"/>
      <c r="D42" s="1"/>
      <c r="E42" s="1" t="s">
        <v>207</v>
      </c>
      <c r="F42" s="1" t="s">
        <v>208</v>
      </c>
      <c r="G42" s="1" t="s">
        <v>208</v>
      </c>
      <c r="H42" s="1" t="s">
        <v>1349</v>
      </c>
      <c r="I42" s="1" t="s">
        <v>33</v>
      </c>
      <c r="J42" s="1" t="s">
        <v>52</v>
      </c>
      <c r="K42" t="s">
        <v>209</v>
      </c>
      <c r="L42">
        <v>29442327</v>
      </c>
      <c r="M42" s="3">
        <v>475440</v>
      </c>
      <c r="N42">
        <v>600000000</v>
      </c>
      <c r="O42">
        <v>1200000000</v>
      </c>
      <c r="P42">
        <v>56011</v>
      </c>
    </row>
    <row r="43" spans="1:16" x14ac:dyDescent="0.25">
      <c r="A43" s="1" t="s">
        <v>210</v>
      </c>
      <c r="B43" s="1"/>
      <c r="C43" s="1"/>
      <c r="D43" s="1"/>
      <c r="E43" s="1" t="s">
        <v>211</v>
      </c>
      <c r="F43" s="1" t="s">
        <v>212</v>
      </c>
      <c r="G43" s="1" t="s">
        <v>212</v>
      </c>
      <c r="H43" s="1" t="s">
        <v>213</v>
      </c>
      <c r="I43" s="1" t="s">
        <v>58</v>
      </c>
      <c r="J43" s="1" t="s">
        <v>147</v>
      </c>
      <c r="K43" t="s">
        <v>214</v>
      </c>
      <c r="L43">
        <v>41417056</v>
      </c>
      <c r="M43" s="3">
        <v>9984670</v>
      </c>
      <c r="N43">
        <v>6000000000</v>
      </c>
      <c r="O43">
        <v>-9500000000</v>
      </c>
      <c r="P43">
        <v>2225341</v>
      </c>
    </row>
    <row r="44" spans="1:16" x14ac:dyDescent="0.25">
      <c r="A44" s="1" t="s">
        <v>219</v>
      </c>
      <c r="B44" s="1" t="s">
        <v>1188</v>
      </c>
      <c r="C44" s="1"/>
      <c r="D44" s="1"/>
      <c r="E44" s="1" t="s">
        <v>220</v>
      </c>
      <c r="F44" s="1" t="s">
        <v>221</v>
      </c>
      <c r="G44" s="1" t="s">
        <v>1386</v>
      </c>
      <c r="H44" s="1" t="s">
        <v>222</v>
      </c>
      <c r="I44" s="1" t="s">
        <v>58</v>
      </c>
      <c r="J44" s="1" t="s">
        <v>59</v>
      </c>
      <c r="K44" t="s">
        <v>223</v>
      </c>
      <c r="L44">
        <v>88833</v>
      </c>
      <c r="M44" s="3">
        <v>262</v>
      </c>
      <c r="N44">
        <v>1950000000</v>
      </c>
      <c r="O44">
        <v>-8050000000</v>
      </c>
    </row>
    <row r="45" spans="1:16" x14ac:dyDescent="0.25">
      <c r="A45" s="1" t="s">
        <v>224</v>
      </c>
      <c r="B45" s="1" t="s">
        <v>1188</v>
      </c>
      <c r="C45" s="1"/>
      <c r="D45" s="1"/>
      <c r="E45" s="1" t="s">
        <v>225</v>
      </c>
      <c r="F45" s="1" t="s">
        <v>226</v>
      </c>
      <c r="G45" s="1" t="s">
        <v>1387</v>
      </c>
      <c r="H45" s="1" t="s">
        <v>227</v>
      </c>
      <c r="I45" s="1" t="s">
        <v>33</v>
      </c>
      <c r="J45" s="1" t="s">
        <v>52</v>
      </c>
      <c r="K45" t="s">
        <v>228</v>
      </c>
      <c r="L45">
        <v>6470307</v>
      </c>
      <c r="M45" s="3">
        <v>622984</v>
      </c>
      <c r="N45">
        <v>700000000</v>
      </c>
      <c r="O45">
        <v>2100000000</v>
      </c>
      <c r="P45">
        <v>2932</v>
      </c>
    </row>
    <row r="46" spans="1:16" x14ac:dyDescent="0.25">
      <c r="A46" s="1" t="s">
        <v>229</v>
      </c>
      <c r="B46" s="1" t="s">
        <v>1263</v>
      </c>
      <c r="C46" s="1"/>
      <c r="D46" s="1"/>
      <c r="E46" s="1" t="s">
        <v>230</v>
      </c>
      <c r="F46" s="1" t="s">
        <v>231</v>
      </c>
      <c r="G46" s="1" t="s">
        <v>301</v>
      </c>
      <c r="H46" s="1" t="s">
        <v>232</v>
      </c>
      <c r="I46" s="1" t="s">
        <v>33</v>
      </c>
      <c r="J46" s="1" t="s">
        <v>52</v>
      </c>
      <c r="K46" t="s">
        <v>233</v>
      </c>
      <c r="L46">
        <v>20031602</v>
      </c>
      <c r="M46" s="3">
        <v>1284000</v>
      </c>
      <c r="N46">
        <v>1500000000</v>
      </c>
      <c r="O46">
        <v>1900000000</v>
      </c>
      <c r="P46">
        <v>18792</v>
      </c>
    </row>
    <row r="47" spans="1:16" x14ac:dyDescent="0.25">
      <c r="A47" s="1" t="s">
        <v>234</v>
      </c>
      <c r="B47" s="1" t="s">
        <v>1202</v>
      </c>
      <c r="C47" s="1"/>
      <c r="D47" s="1"/>
      <c r="E47" s="1" t="s">
        <v>235</v>
      </c>
      <c r="F47" s="1" t="s">
        <v>236</v>
      </c>
      <c r="G47" s="1" t="s">
        <v>526</v>
      </c>
      <c r="H47" s="1" t="s">
        <v>237</v>
      </c>
      <c r="I47" s="1" t="s">
        <v>58</v>
      </c>
      <c r="J47" s="1" t="s">
        <v>75</v>
      </c>
      <c r="K47" t="s">
        <v>238</v>
      </c>
      <c r="L47">
        <v>20206953</v>
      </c>
      <c r="M47" s="3">
        <v>756950</v>
      </c>
      <c r="N47">
        <v>-3000000000</v>
      </c>
      <c r="O47">
        <v>-7100000000</v>
      </c>
      <c r="P47">
        <v>343823</v>
      </c>
    </row>
    <row r="48" spans="1:16" x14ac:dyDescent="0.25">
      <c r="A48" s="1" t="s">
        <v>239</v>
      </c>
      <c r="B48" s="1" t="s">
        <v>1351</v>
      </c>
      <c r="C48" s="1"/>
      <c r="D48" s="1"/>
      <c r="E48" s="1" t="s">
        <v>240</v>
      </c>
      <c r="F48" s="1" t="s">
        <v>241</v>
      </c>
      <c r="G48" s="1" t="s">
        <v>1017</v>
      </c>
      <c r="H48" s="1" t="s">
        <v>242</v>
      </c>
      <c r="I48" s="1" t="s">
        <v>15</v>
      </c>
      <c r="J48" s="1" t="s">
        <v>243</v>
      </c>
      <c r="K48" t="s">
        <v>244</v>
      </c>
      <c r="L48">
        <v>1404890000</v>
      </c>
      <c r="M48" s="3">
        <v>9596960</v>
      </c>
      <c r="N48">
        <v>3500000000</v>
      </c>
      <c r="O48">
        <v>10500000000</v>
      </c>
      <c r="P48">
        <v>19231705</v>
      </c>
    </row>
    <row r="49" spans="1:16" x14ac:dyDescent="0.25">
      <c r="A49" s="1" t="s">
        <v>245</v>
      </c>
      <c r="B49" s="1" t="s">
        <v>1277</v>
      </c>
      <c r="C49" s="1"/>
      <c r="D49" s="1"/>
      <c r="E49" s="1" t="s">
        <v>246</v>
      </c>
      <c r="F49" s="1" t="s">
        <v>247</v>
      </c>
      <c r="G49" s="1" t="s">
        <v>1421</v>
      </c>
      <c r="H49" s="1" t="s">
        <v>248</v>
      </c>
      <c r="I49" s="1" t="s">
        <v>40</v>
      </c>
      <c r="J49" s="1" t="s">
        <v>92</v>
      </c>
      <c r="K49" t="s">
        <v>1339</v>
      </c>
      <c r="L49">
        <v>1692</v>
      </c>
      <c r="M49" s="3">
        <v>135</v>
      </c>
      <c r="N49">
        <v>-1050000000</v>
      </c>
      <c r="O49">
        <v>10566666666</v>
      </c>
    </row>
    <row r="50" spans="1:16" x14ac:dyDescent="0.25">
      <c r="A50" s="1" t="s">
        <v>249</v>
      </c>
      <c r="B50" s="1" t="s">
        <v>1277</v>
      </c>
      <c r="C50" s="1"/>
      <c r="D50" s="1" t="s">
        <v>1353</v>
      </c>
      <c r="E50" s="1" t="s">
        <v>250</v>
      </c>
      <c r="F50" s="1" t="s">
        <v>251</v>
      </c>
      <c r="G50" s="1" t="s">
        <v>269</v>
      </c>
      <c r="H50" s="1" t="s">
        <v>252</v>
      </c>
      <c r="I50" s="1" t="s">
        <v>40</v>
      </c>
      <c r="J50" s="1" t="s">
        <v>92</v>
      </c>
      <c r="K50" t="s">
        <v>1354</v>
      </c>
      <c r="L50">
        <v>593</v>
      </c>
      <c r="M50" s="3">
        <v>14</v>
      </c>
      <c r="N50">
        <v>-1250000000</v>
      </c>
      <c r="O50">
        <v>9683333333</v>
      </c>
    </row>
    <row r="51" spans="1:16" x14ac:dyDescent="0.25">
      <c r="A51" s="1" t="s">
        <v>253</v>
      </c>
      <c r="B51" s="1" t="s">
        <v>1202</v>
      </c>
      <c r="C51" s="1"/>
      <c r="D51" s="1"/>
      <c r="E51" s="1" t="s">
        <v>254</v>
      </c>
      <c r="F51" s="1" t="s">
        <v>255</v>
      </c>
      <c r="G51" s="1" t="s">
        <v>255</v>
      </c>
      <c r="H51" s="1" t="s">
        <v>256</v>
      </c>
      <c r="I51" s="1" t="s">
        <v>58</v>
      </c>
      <c r="J51" s="1" t="s">
        <v>75</v>
      </c>
      <c r="K51" t="s">
        <v>257</v>
      </c>
      <c r="L51">
        <v>53057212</v>
      </c>
      <c r="M51" s="3">
        <v>1138910</v>
      </c>
      <c r="N51">
        <v>400000000</v>
      </c>
      <c r="O51">
        <v>-7200000000</v>
      </c>
      <c r="P51">
        <v>427766</v>
      </c>
    </row>
    <row r="52" spans="1:16" x14ac:dyDescent="0.25">
      <c r="A52" s="1" t="s">
        <v>258</v>
      </c>
      <c r="B52" s="1" t="s">
        <v>1344</v>
      </c>
      <c r="C52" s="1"/>
      <c r="D52" s="1"/>
      <c r="E52" s="1" t="s">
        <v>259</v>
      </c>
      <c r="F52" s="1" t="s">
        <v>260</v>
      </c>
      <c r="G52" s="1" t="s">
        <v>241</v>
      </c>
      <c r="H52" s="1" t="s">
        <v>261</v>
      </c>
      <c r="I52" s="1" t="s">
        <v>33</v>
      </c>
      <c r="J52" s="1" t="s">
        <v>180</v>
      </c>
      <c r="K52" t="s">
        <v>1345</v>
      </c>
      <c r="L52">
        <v>944388</v>
      </c>
      <c r="M52">
        <v>2235</v>
      </c>
    </row>
    <row r="53" spans="1:16" x14ac:dyDescent="0.25">
      <c r="A53" s="1" t="s">
        <v>262</v>
      </c>
      <c r="B53" s="1" t="s">
        <v>1264</v>
      </c>
      <c r="C53" s="1"/>
      <c r="D53" s="1" t="s">
        <v>1347</v>
      </c>
      <c r="E53" s="1" t="s">
        <v>263</v>
      </c>
      <c r="F53" s="1" t="s">
        <v>264</v>
      </c>
      <c r="G53" s="1" t="s">
        <v>226</v>
      </c>
      <c r="H53" s="1" t="s">
        <v>265</v>
      </c>
      <c r="I53" s="1" t="s">
        <v>33</v>
      </c>
      <c r="J53" s="1" t="s">
        <v>52</v>
      </c>
      <c r="K53" t="s">
        <v>266</v>
      </c>
      <c r="L53">
        <v>6142180</v>
      </c>
      <c r="M53" s="3">
        <v>342000</v>
      </c>
      <c r="N53">
        <v>-100000000</v>
      </c>
      <c r="O53">
        <v>1500000000</v>
      </c>
      <c r="P53">
        <v>15281</v>
      </c>
    </row>
    <row r="54" spans="1:16" x14ac:dyDescent="0.25">
      <c r="A54" s="1" t="s">
        <v>267</v>
      </c>
      <c r="B54" s="1" t="s">
        <v>1188</v>
      </c>
      <c r="C54" s="1"/>
      <c r="D54" s="1"/>
      <c r="E54" s="1" t="s">
        <v>268</v>
      </c>
      <c r="F54" s="1" t="s">
        <v>269</v>
      </c>
      <c r="G54" s="1" t="s">
        <v>287</v>
      </c>
      <c r="H54" s="1" t="s">
        <v>270</v>
      </c>
      <c r="I54" s="1" t="s">
        <v>40</v>
      </c>
      <c r="J54" s="1" t="s">
        <v>41</v>
      </c>
      <c r="K54" t="s">
        <v>1346</v>
      </c>
      <c r="L54">
        <v>15040</v>
      </c>
      <c r="M54" s="3">
        <v>240</v>
      </c>
      <c r="N54">
        <v>-2123333333</v>
      </c>
      <c r="O54">
        <v>-15976666666</v>
      </c>
    </row>
    <row r="55" spans="1:16" x14ac:dyDescent="0.25">
      <c r="A55" s="1" t="s">
        <v>271</v>
      </c>
      <c r="B55" s="1" t="s">
        <v>1202</v>
      </c>
      <c r="C55" s="1"/>
      <c r="D55" s="1"/>
      <c r="E55" s="1" t="s">
        <v>272</v>
      </c>
      <c r="F55" s="1" t="s">
        <v>273</v>
      </c>
      <c r="G55" s="1" t="s">
        <v>1388</v>
      </c>
      <c r="H55" s="1" t="s">
        <v>1342</v>
      </c>
      <c r="I55" s="1" t="s">
        <v>58</v>
      </c>
      <c r="J55" s="1" t="s">
        <v>135</v>
      </c>
      <c r="K55" t="s">
        <v>274</v>
      </c>
      <c r="L55">
        <v>5191824</v>
      </c>
      <c r="M55" s="3">
        <v>51100</v>
      </c>
      <c r="N55">
        <v>1000000000</v>
      </c>
      <c r="O55">
        <v>-8400000000</v>
      </c>
      <c r="P55">
        <v>102591</v>
      </c>
    </row>
    <row r="56" spans="1:16" x14ac:dyDescent="0.25">
      <c r="A56" s="1" t="s">
        <v>275</v>
      </c>
      <c r="B56" s="1" t="s">
        <v>1202</v>
      </c>
      <c r="C56" s="1"/>
      <c r="D56" s="1"/>
      <c r="E56" s="1" t="s">
        <v>276</v>
      </c>
      <c r="F56" s="1" t="s">
        <v>277</v>
      </c>
      <c r="G56" s="1" t="s">
        <v>277</v>
      </c>
      <c r="H56" s="1" t="s">
        <v>278</v>
      </c>
      <c r="I56" s="1" t="s">
        <v>21</v>
      </c>
      <c r="J56" s="1" t="s">
        <v>27</v>
      </c>
      <c r="K56" t="s">
        <v>279</v>
      </c>
      <c r="L56">
        <v>3866233</v>
      </c>
      <c r="M56" s="3">
        <v>56542</v>
      </c>
      <c r="N56">
        <v>4516666666</v>
      </c>
      <c r="O56">
        <v>1550000000</v>
      </c>
      <c r="P56">
        <v>98951</v>
      </c>
    </row>
    <row r="57" spans="1:16" x14ac:dyDescent="0.25">
      <c r="A57" s="1" t="s">
        <v>280</v>
      </c>
      <c r="B57" s="1" t="s">
        <v>1202</v>
      </c>
      <c r="C57" s="1"/>
      <c r="D57" s="1"/>
      <c r="E57" s="1" t="s">
        <v>281</v>
      </c>
      <c r="F57" s="1" t="s">
        <v>282</v>
      </c>
      <c r="G57" s="1" t="s">
        <v>282</v>
      </c>
      <c r="H57" s="1" t="s">
        <v>283</v>
      </c>
      <c r="I57" s="1" t="s">
        <v>58</v>
      </c>
      <c r="J57" s="1" t="s">
        <v>59</v>
      </c>
      <c r="K57" t="s">
        <v>284</v>
      </c>
      <c r="L57">
        <v>9748007</v>
      </c>
      <c r="M57" s="3">
        <v>110860</v>
      </c>
      <c r="N57">
        <v>2150000000</v>
      </c>
      <c r="O57">
        <v>-8000000000</v>
      </c>
    </row>
    <row r="58" spans="1:16" x14ac:dyDescent="0.25">
      <c r="A58" s="1" t="s">
        <v>285</v>
      </c>
      <c r="B58" s="1" t="s">
        <v>1340</v>
      </c>
      <c r="C58" s="1"/>
      <c r="D58" s="1"/>
      <c r="E58" s="1" t="s">
        <v>286</v>
      </c>
      <c r="F58" s="1" t="s">
        <v>287</v>
      </c>
      <c r="G58" s="1" t="s">
        <v>1420</v>
      </c>
      <c r="H58" s="1" t="s">
        <v>288</v>
      </c>
      <c r="I58" s="1" t="s">
        <v>58</v>
      </c>
      <c r="J58" s="1" t="s">
        <v>59</v>
      </c>
      <c r="K58" t="s">
        <v>1341</v>
      </c>
      <c r="L58">
        <v>156115</v>
      </c>
      <c r="M58" s="3">
        <v>444</v>
      </c>
      <c r="N58">
        <v>1211666700</v>
      </c>
      <c r="O58">
        <v>-6893333300</v>
      </c>
    </row>
    <row r="59" spans="1:16" x14ac:dyDescent="0.25">
      <c r="A59" s="1" t="s">
        <v>289</v>
      </c>
      <c r="B59" s="1" t="s">
        <v>1202</v>
      </c>
      <c r="C59" s="1"/>
      <c r="D59" s="1"/>
      <c r="E59" s="1" t="s">
        <v>290</v>
      </c>
      <c r="F59" s="1" t="s">
        <v>291</v>
      </c>
      <c r="G59" s="1" t="s">
        <v>291</v>
      </c>
      <c r="H59" s="1" t="s">
        <v>292</v>
      </c>
      <c r="I59" s="1" t="s">
        <v>21</v>
      </c>
      <c r="J59" s="1" t="s">
        <v>27</v>
      </c>
      <c r="K59" t="s">
        <v>293</v>
      </c>
      <c r="L59">
        <v>983000</v>
      </c>
      <c r="M59" s="3">
        <v>9250</v>
      </c>
      <c r="N59">
        <v>3500000000</v>
      </c>
      <c r="O59">
        <v>3300000000</v>
      </c>
      <c r="P59">
        <v>38736</v>
      </c>
    </row>
    <row r="60" spans="1:16" x14ac:dyDescent="0.25">
      <c r="A60" s="1" t="s">
        <v>294</v>
      </c>
      <c r="B60" s="1" t="s">
        <v>1188</v>
      </c>
      <c r="C60" s="1"/>
      <c r="D60" s="1" t="s">
        <v>1194</v>
      </c>
      <c r="E60" s="1" t="s">
        <v>295</v>
      </c>
      <c r="F60" s="1" t="s">
        <v>296</v>
      </c>
      <c r="G60" s="1" t="s">
        <v>1393</v>
      </c>
      <c r="H60" s="1" t="s">
        <v>297</v>
      </c>
      <c r="I60" s="1" t="s">
        <v>21</v>
      </c>
      <c r="J60" s="1" t="s">
        <v>124</v>
      </c>
      <c r="K60" t="s">
        <v>298</v>
      </c>
      <c r="L60">
        <v>10896003</v>
      </c>
      <c r="M60" s="3">
        <v>78866</v>
      </c>
      <c r="N60">
        <v>4975000000</v>
      </c>
      <c r="O60">
        <v>1550000000</v>
      </c>
      <c r="P60">
        <v>360244</v>
      </c>
    </row>
    <row r="61" spans="1:16" x14ac:dyDescent="0.25">
      <c r="A61" s="1" t="s">
        <v>299</v>
      </c>
      <c r="B61" s="1" t="s">
        <v>1188</v>
      </c>
      <c r="C61" s="1"/>
      <c r="D61" s="1" t="s">
        <v>1348</v>
      </c>
      <c r="E61" s="1" t="s">
        <v>300</v>
      </c>
      <c r="F61" s="1" t="s">
        <v>301</v>
      </c>
      <c r="G61" s="1" t="s">
        <v>264</v>
      </c>
      <c r="H61" s="1" t="s">
        <v>302</v>
      </c>
      <c r="I61" s="1" t="s">
        <v>33</v>
      </c>
      <c r="J61" s="1" t="s">
        <v>52</v>
      </c>
      <c r="K61" t="s">
        <v>266</v>
      </c>
      <c r="L61">
        <v>112832000</v>
      </c>
      <c r="M61" s="3">
        <v>2345410</v>
      </c>
      <c r="N61">
        <v>0</v>
      </c>
      <c r="O61">
        <v>2500000000</v>
      </c>
      <c r="P61">
        <v>79119</v>
      </c>
    </row>
    <row r="62" spans="1:16" x14ac:dyDescent="0.25">
      <c r="A62" s="1" t="s">
        <v>303</v>
      </c>
      <c r="B62" s="1"/>
      <c r="C62" s="1"/>
      <c r="D62" s="1"/>
      <c r="E62" s="1" t="s">
        <v>304</v>
      </c>
      <c r="F62" s="1" t="s">
        <v>305</v>
      </c>
      <c r="G62" s="1" t="s">
        <v>1389</v>
      </c>
      <c r="H62" s="1" t="s">
        <v>306</v>
      </c>
      <c r="I62" s="1" t="s">
        <v>21</v>
      </c>
      <c r="J62" s="1" t="s">
        <v>22</v>
      </c>
      <c r="K62" t="s">
        <v>307</v>
      </c>
      <c r="L62">
        <v>6031992</v>
      </c>
      <c r="M62" s="3">
        <v>43094</v>
      </c>
      <c r="N62">
        <v>5600000000</v>
      </c>
      <c r="O62">
        <v>1000000000</v>
      </c>
      <c r="P62">
        <v>449940</v>
      </c>
    </row>
    <row r="63" spans="1:16" x14ac:dyDescent="0.25">
      <c r="A63" s="1" t="s">
        <v>308</v>
      </c>
      <c r="B63" s="1" t="s">
        <v>1202</v>
      </c>
      <c r="C63" s="1"/>
      <c r="D63" s="1"/>
      <c r="E63" s="1" t="s">
        <v>309</v>
      </c>
      <c r="F63" s="1" t="s">
        <v>310</v>
      </c>
      <c r="G63" s="1" t="s">
        <v>310</v>
      </c>
      <c r="H63" s="1" t="s">
        <v>1338</v>
      </c>
      <c r="I63" s="1" t="s">
        <v>33</v>
      </c>
      <c r="J63" s="1" t="s">
        <v>180</v>
      </c>
      <c r="K63" t="s">
        <v>311</v>
      </c>
      <c r="L63">
        <v>1066809</v>
      </c>
      <c r="M63" s="3">
        <v>23000</v>
      </c>
      <c r="N63">
        <v>1150000000</v>
      </c>
      <c r="O63">
        <v>4300000000</v>
      </c>
      <c r="P63">
        <v>4587</v>
      </c>
    </row>
    <row r="64" spans="1:16" x14ac:dyDescent="0.25">
      <c r="A64" s="1" t="s">
        <v>312</v>
      </c>
      <c r="B64" s="1" t="s">
        <v>1283</v>
      </c>
      <c r="C64" s="1"/>
      <c r="D64" s="1"/>
      <c r="E64" s="1" t="s">
        <v>313</v>
      </c>
      <c r="F64" s="1" t="s">
        <v>314</v>
      </c>
      <c r="G64" s="1" t="s">
        <v>319</v>
      </c>
      <c r="H64" s="1" t="s">
        <v>315</v>
      </c>
      <c r="I64" s="1" t="s">
        <v>58</v>
      </c>
      <c r="J64" s="1" t="s">
        <v>59</v>
      </c>
      <c r="K64" t="s">
        <v>316</v>
      </c>
      <c r="L64">
        <v>65512</v>
      </c>
      <c r="M64" s="3">
        <v>754</v>
      </c>
      <c r="N64">
        <v>1541666666</v>
      </c>
      <c r="O64">
        <v>-6133333333</v>
      </c>
      <c r="P64">
        <v>742</v>
      </c>
    </row>
    <row r="65" spans="1:16" x14ac:dyDescent="0.25">
      <c r="A65" s="1" t="s">
        <v>317</v>
      </c>
      <c r="B65" s="1" t="s">
        <v>1188</v>
      </c>
      <c r="C65" s="1"/>
      <c r="D65" s="1"/>
      <c r="E65" s="1" t="s">
        <v>318</v>
      </c>
      <c r="F65" s="1" t="s">
        <v>319</v>
      </c>
      <c r="G65" s="1" t="s">
        <v>1390</v>
      </c>
      <c r="H65" s="1" t="s">
        <v>320</v>
      </c>
      <c r="I65" s="1" t="s">
        <v>58</v>
      </c>
      <c r="J65" s="1" t="s">
        <v>59</v>
      </c>
      <c r="K65" t="s">
        <v>316</v>
      </c>
      <c r="L65">
        <v>10771504</v>
      </c>
      <c r="M65" s="3">
        <v>48730</v>
      </c>
      <c r="N65">
        <v>1900000000</v>
      </c>
      <c r="O65">
        <v>-7066666666</v>
      </c>
      <c r="P65">
        <v>127828</v>
      </c>
    </row>
    <row r="66" spans="1:16" x14ac:dyDescent="0.25">
      <c r="A66" s="1" t="s">
        <v>321</v>
      </c>
      <c r="B66" s="1" t="s">
        <v>1202</v>
      </c>
      <c r="C66" s="1"/>
      <c r="D66" s="1"/>
      <c r="E66" s="1" t="s">
        <v>322</v>
      </c>
      <c r="F66" s="1" t="s">
        <v>323</v>
      </c>
      <c r="G66" s="1" t="s">
        <v>323</v>
      </c>
      <c r="H66" s="1" t="s">
        <v>324</v>
      </c>
      <c r="I66" s="1" t="s">
        <v>58</v>
      </c>
      <c r="J66" s="1" t="s">
        <v>75</v>
      </c>
      <c r="K66" t="s">
        <v>325</v>
      </c>
      <c r="L66">
        <v>18103660</v>
      </c>
      <c r="M66" s="3">
        <v>283560</v>
      </c>
      <c r="N66">
        <v>-200000000</v>
      </c>
      <c r="O66">
        <v>-7750000000</v>
      </c>
      <c r="P66">
        <v>125677</v>
      </c>
    </row>
    <row r="67" spans="1:16" x14ac:dyDescent="0.25">
      <c r="A67" s="1" t="s">
        <v>326</v>
      </c>
      <c r="B67" s="1" t="s">
        <v>1336</v>
      </c>
      <c r="C67" s="1"/>
      <c r="D67" s="1"/>
      <c r="E67" s="1" t="s">
        <v>327</v>
      </c>
      <c r="F67" s="1" t="s">
        <v>328</v>
      </c>
      <c r="G67" s="1" t="s">
        <v>328</v>
      </c>
      <c r="H67" s="1" t="s">
        <v>329</v>
      </c>
      <c r="I67" s="1" t="s">
        <v>33</v>
      </c>
      <c r="J67" s="1" t="s">
        <v>34</v>
      </c>
      <c r="K67" t="s">
        <v>330</v>
      </c>
      <c r="L67">
        <v>108613296</v>
      </c>
      <c r="M67" s="3">
        <v>1001450</v>
      </c>
      <c r="N67">
        <v>2700000000</v>
      </c>
      <c r="O67">
        <v>3000000000</v>
      </c>
      <c r="P67">
        <v>347342</v>
      </c>
    </row>
    <row r="68" spans="1:16" x14ac:dyDescent="0.25">
      <c r="A68" s="1" t="s">
        <v>331</v>
      </c>
      <c r="B68" s="1" t="s">
        <v>1263</v>
      </c>
      <c r="C68" s="1"/>
      <c r="D68" s="1"/>
      <c r="E68" s="1" t="s">
        <v>332</v>
      </c>
      <c r="F68" s="1" t="s">
        <v>333</v>
      </c>
      <c r="G68" s="1" t="s">
        <v>988</v>
      </c>
      <c r="H68" s="1" t="s">
        <v>334</v>
      </c>
      <c r="I68" s="1" t="s">
        <v>58</v>
      </c>
      <c r="J68" s="1" t="s">
        <v>135</v>
      </c>
      <c r="K68" t="s">
        <v>335</v>
      </c>
      <c r="L68">
        <v>6029976</v>
      </c>
      <c r="M68" s="3">
        <v>21040</v>
      </c>
      <c r="N68">
        <v>1383333333</v>
      </c>
      <c r="O68">
        <v>-8891666666</v>
      </c>
      <c r="P68">
        <v>36749</v>
      </c>
    </row>
    <row r="69" spans="1:16" x14ac:dyDescent="0.25">
      <c r="A69" s="1" t="s">
        <v>336</v>
      </c>
      <c r="B69" s="1" t="s">
        <v>1202</v>
      </c>
      <c r="C69" s="1"/>
      <c r="D69" s="1"/>
      <c r="E69" s="1" t="s">
        <v>337</v>
      </c>
      <c r="F69" s="1" t="s">
        <v>338</v>
      </c>
      <c r="G69" s="1" t="s">
        <v>1391</v>
      </c>
      <c r="H69" s="1" t="s">
        <v>1317</v>
      </c>
      <c r="I69" s="1" t="s">
        <v>33</v>
      </c>
      <c r="J69" s="1" t="s">
        <v>52</v>
      </c>
      <c r="K69" t="s">
        <v>339</v>
      </c>
      <c r="L69">
        <v>1668768</v>
      </c>
      <c r="M69">
        <v>28050</v>
      </c>
    </row>
    <row r="70" spans="1:16" x14ac:dyDescent="0.25">
      <c r="A70" s="1" t="s">
        <v>340</v>
      </c>
      <c r="B70" s="1" t="s">
        <v>1271</v>
      </c>
      <c r="C70" s="1"/>
      <c r="D70" s="1"/>
      <c r="E70" s="1" t="s">
        <v>341</v>
      </c>
      <c r="F70" s="1" t="s">
        <v>342</v>
      </c>
      <c r="G70" s="1" t="s">
        <v>342</v>
      </c>
      <c r="H70" s="1" t="s">
        <v>343</v>
      </c>
      <c r="I70" s="1" t="s">
        <v>33</v>
      </c>
      <c r="J70" s="1" t="s">
        <v>180</v>
      </c>
      <c r="K70" t="s">
        <v>344</v>
      </c>
      <c r="L70">
        <v>3607000</v>
      </c>
      <c r="M70" s="3">
        <v>121320</v>
      </c>
      <c r="N70">
        <v>1500000000</v>
      </c>
      <c r="O70">
        <v>3900000000</v>
      </c>
    </row>
    <row r="71" spans="1:16" x14ac:dyDescent="0.25">
      <c r="A71" s="1" t="s">
        <v>345</v>
      </c>
      <c r="B71" s="1" t="s">
        <v>1202</v>
      </c>
      <c r="C71" s="1"/>
      <c r="D71" s="1"/>
      <c r="E71" s="1" t="s">
        <v>346</v>
      </c>
      <c r="F71" s="1" t="s">
        <v>347</v>
      </c>
      <c r="G71" s="1" t="s">
        <v>1392</v>
      </c>
      <c r="H71" s="1" t="s">
        <v>348</v>
      </c>
      <c r="I71" s="1" t="s">
        <v>21</v>
      </c>
      <c r="J71" s="1" t="s">
        <v>22</v>
      </c>
      <c r="K71" t="s">
        <v>349</v>
      </c>
      <c r="L71">
        <v>1360745</v>
      </c>
      <c r="M71" s="3">
        <v>45226</v>
      </c>
      <c r="N71">
        <v>5900000000</v>
      </c>
      <c r="O71">
        <v>2600000000</v>
      </c>
      <c r="P71">
        <v>45004</v>
      </c>
    </row>
    <row r="72" spans="1:16" x14ac:dyDescent="0.25">
      <c r="A72" s="1" t="s">
        <v>350</v>
      </c>
      <c r="B72" s="1" t="s">
        <v>1261</v>
      </c>
      <c r="C72" s="1"/>
      <c r="D72" s="1" t="s">
        <v>1292</v>
      </c>
      <c r="E72" s="1" t="s">
        <v>351</v>
      </c>
      <c r="F72" s="1" t="s">
        <v>352</v>
      </c>
      <c r="G72" s="1" t="s">
        <v>1419</v>
      </c>
      <c r="H72" s="1" t="s">
        <v>353</v>
      </c>
      <c r="I72" s="1" t="s">
        <v>33</v>
      </c>
      <c r="J72" s="1" t="s">
        <v>168</v>
      </c>
      <c r="K72" t="s">
        <v>354</v>
      </c>
      <c r="L72">
        <v>1235549</v>
      </c>
      <c r="M72" s="3">
        <v>17363</v>
      </c>
      <c r="N72">
        <v>-2650000000</v>
      </c>
      <c r="O72">
        <v>3150000000</v>
      </c>
      <c r="P72">
        <v>5483</v>
      </c>
    </row>
    <row r="73" spans="1:16" x14ac:dyDescent="0.25">
      <c r="A73" s="1" t="s">
        <v>355</v>
      </c>
      <c r="B73" s="1" t="s">
        <v>1280</v>
      </c>
      <c r="C73" s="1"/>
      <c r="D73" s="1"/>
      <c r="E73" s="1" t="s">
        <v>356</v>
      </c>
      <c r="F73" s="1" t="s">
        <v>357</v>
      </c>
      <c r="G73" s="1" t="s">
        <v>357</v>
      </c>
      <c r="H73" s="1" t="s">
        <v>358</v>
      </c>
      <c r="I73" s="1" t="s">
        <v>33</v>
      </c>
      <c r="J73" s="1" t="s">
        <v>180</v>
      </c>
      <c r="K73" t="s">
        <v>359</v>
      </c>
      <c r="L73">
        <v>111652998</v>
      </c>
      <c r="M73" s="3">
        <v>1127127</v>
      </c>
      <c r="N73">
        <v>800000000</v>
      </c>
      <c r="O73">
        <v>3800000000</v>
      </c>
      <c r="P73">
        <v>117457</v>
      </c>
    </row>
    <row r="74" spans="1:16" x14ac:dyDescent="0.25">
      <c r="A74" s="1" t="s">
        <v>360</v>
      </c>
      <c r="B74" s="1" t="s">
        <v>1188</v>
      </c>
      <c r="C74" s="1"/>
      <c r="D74" s="1" t="s">
        <v>1331</v>
      </c>
      <c r="E74" s="1" t="s">
        <v>361</v>
      </c>
      <c r="F74" s="1" t="s">
        <v>362</v>
      </c>
      <c r="G74" s="1" t="s">
        <v>362</v>
      </c>
      <c r="H74" s="1" t="s">
        <v>363</v>
      </c>
      <c r="I74" s="1" t="s">
        <v>58</v>
      </c>
      <c r="J74" s="1" t="s">
        <v>75</v>
      </c>
      <c r="K74" t="s">
        <v>1332</v>
      </c>
      <c r="L74">
        <v>3662</v>
      </c>
      <c r="M74" s="3">
        <v>12173</v>
      </c>
      <c r="N74">
        <v>-5175000000</v>
      </c>
      <c r="O74">
        <v>-5900000000</v>
      </c>
    </row>
    <row r="75" spans="1:16" x14ac:dyDescent="0.25">
      <c r="A75" s="1" t="s">
        <v>364</v>
      </c>
      <c r="B75" s="1" t="s">
        <v>1188</v>
      </c>
      <c r="C75" s="1"/>
      <c r="D75" s="1" t="s">
        <v>1328</v>
      </c>
      <c r="E75" s="1" t="s">
        <v>365</v>
      </c>
      <c r="F75" s="1" t="s">
        <v>366</v>
      </c>
      <c r="G75" s="1" t="s">
        <v>366</v>
      </c>
      <c r="H75" s="1" t="s">
        <v>1329</v>
      </c>
      <c r="I75" s="1" t="s">
        <v>21</v>
      </c>
      <c r="J75" s="1" t="s">
        <v>22</v>
      </c>
      <c r="K75" t="s">
        <v>367</v>
      </c>
      <c r="L75">
        <v>55348</v>
      </c>
      <c r="M75" s="3">
        <v>1399</v>
      </c>
      <c r="N75">
        <v>6200000000</v>
      </c>
      <c r="O75">
        <v>-700000000</v>
      </c>
    </row>
    <row r="76" spans="1:16" x14ac:dyDescent="0.25">
      <c r="A76" s="1" t="s">
        <v>1195</v>
      </c>
      <c r="B76" s="1" t="s">
        <v>1202</v>
      </c>
      <c r="C76" s="1"/>
      <c r="D76" s="1" t="s">
        <v>1333</v>
      </c>
      <c r="E76" s="1" t="s">
        <v>368</v>
      </c>
      <c r="F76" s="1" t="s">
        <v>369</v>
      </c>
      <c r="G76" s="1" t="s">
        <v>369</v>
      </c>
      <c r="H76" s="1" t="s">
        <v>370</v>
      </c>
      <c r="I76" s="1" t="s">
        <v>40</v>
      </c>
      <c r="J76" s="1" t="s">
        <v>371</v>
      </c>
      <c r="K76" t="s">
        <v>372</v>
      </c>
      <c r="L76">
        <v>902623</v>
      </c>
      <c r="M76" s="3">
        <v>18270</v>
      </c>
      <c r="N76">
        <v>-1800000000</v>
      </c>
      <c r="O76">
        <v>17500000000</v>
      </c>
      <c r="P76">
        <v>6257</v>
      </c>
    </row>
    <row r="77" spans="1:16" x14ac:dyDescent="0.25">
      <c r="A77" s="1" t="s">
        <v>373</v>
      </c>
      <c r="B77" s="1" t="s">
        <v>1202</v>
      </c>
      <c r="C77" s="1"/>
      <c r="D77" s="1"/>
      <c r="E77" s="1" t="s">
        <v>374</v>
      </c>
      <c r="F77" s="1" t="s">
        <v>375</v>
      </c>
      <c r="G77" s="1" t="s">
        <v>375</v>
      </c>
      <c r="H77" s="1" t="s">
        <v>376</v>
      </c>
      <c r="I77" s="1" t="s">
        <v>21</v>
      </c>
      <c r="J77" s="1" t="s">
        <v>22</v>
      </c>
      <c r="K77" t="s">
        <v>377</v>
      </c>
      <c r="L77">
        <v>5651171</v>
      </c>
      <c r="M77" s="3">
        <v>337030</v>
      </c>
      <c r="N77">
        <v>6400000000</v>
      </c>
      <c r="O77">
        <v>2600000000</v>
      </c>
      <c r="P77">
        <v>303945</v>
      </c>
    </row>
    <row r="78" spans="1:16" x14ac:dyDescent="0.25">
      <c r="A78" s="1" t="s">
        <v>378</v>
      </c>
      <c r="B78" s="1"/>
      <c r="C78" s="1"/>
      <c r="D78" s="1" t="s">
        <v>1330</v>
      </c>
      <c r="E78" s="1" t="s">
        <v>379</v>
      </c>
      <c r="F78" s="1" t="s">
        <v>380</v>
      </c>
      <c r="G78" s="1" t="s">
        <v>380</v>
      </c>
      <c r="H78" s="1" t="s">
        <v>381</v>
      </c>
      <c r="I78" s="1" t="s">
        <v>21</v>
      </c>
      <c r="J78" s="1" t="s">
        <v>98</v>
      </c>
      <c r="K78" t="s">
        <v>382</v>
      </c>
      <c r="L78">
        <v>69081996</v>
      </c>
      <c r="M78" s="3">
        <v>547030</v>
      </c>
      <c r="N78">
        <v>4600000000</v>
      </c>
      <c r="O78">
        <v>200000000</v>
      </c>
      <c r="P78">
        <v>3211292</v>
      </c>
    </row>
    <row r="79" spans="1:16" x14ac:dyDescent="0.25">
      <c r="A79" s="1" t="s">
        <v>383</v>
      </c>
      <c r="B79" s="1"/>
      <c r="C79" s="1"/>
      <c r="D79" s="1" t="s">
        <v>1314</v>
      </c>
      <c r="E79" s="1" t="s">
        <v>384</v>
      </c>
      <c r="F79" s="1" t="s">
        <v>385</v>
      </c>
      <c r="G79" s="1" t="s">
        <v>1394</v>
      </c>
      <c r="H79" s="1" t="s">
        <v>386</v>
      </c>
      <c r="I79" s="1" t="s">
        <v>58</v>
      </c>
      <c r="J79" s="1" t="s">
        <v>75</v>
      </c>
      <c r="K79" t="s">
        <v>387</v>
      </c>
      <c r="L79">
        <v>298554</v>
      </c>
      <c r="M79" s="3">
        <v>91000</v>
      </c>
      <c r="N79">
        <v>400000000</v>
      </c>
      <c r="O79">
        <v>-5300000000</v>
      </c>
    </row>
    <row r="80" spans="1:16" x14ac:dyDescent="0.25">
      <c r="A80" s="1" t="s">
        <v>388</v>
      </c>
      <c r="B80" s="1"/>
      <c r="C80" s="1"/>
      <c r="D80" s="1"/>
      <c r="E80" s="1" t="s">
        <v>389</v>
      </c>
      <c r="F80" s="1" t="s">
        <v>390</v>
      </c>
      <c r="G80" s="1" t="s">
        <v>1395</v>
      </c>
      <c r="H80" s="1" t="s">
        <v>391</v>
      </c>
      <c r="I80" s="1" t="s">
        <v>40</v>
      </c>
      <c r="J80" s="1" t="s">
        <v>41</v>
      </c>
      <c r="K80" t="s">
        <v>1240</v>
      </c>
      <c r="L80">
        <v>279500</v>
      </c>
      <c r="M80" s="3">
        <v>4167</v>
      </c>
      <c r="N80">
        <v>-1500000000</v>
      </c>
      <c r="O80">
        <v>-14000000000</v>
      </c>
    </row>
    <row r="81" spans="1:16" x14ac:dyDescent="0.25">
      <c r="A81" s="1" t="s">
        <v>1366</v>
      </c>
      <c r="B81" s="1" t="s">
        <v>1188</v>
      </c>
      <c r="C81" s="1"/>
      <c r="D81" s="1" t="s">
        <v>1367</v>
      </c>
      <c r="E81" s="1" t="s">
        <v>393</v>
      </c>
      <c r="F81" s="1" t="s">
        <v>394</v>
      </c>
      <c r="G81" s="1" t="s">
        <v>1396</v>
      </c>
      <c r="H81" s="1" t="s">
        <v>395</v>
      </c>
      <c r="I81" s="1" t="s">
        <v>33</v>
      </c>
      <c r="J81" s="1" t="s">
        <v>168</v>
      </c>
      <c r="K81" t="s">
        <v>392</v>
      </c>
      <c r="L81">
        <v>500</v>
      </c>
      <c r="M81">
        <f>439666-432000</f>
        <v>7666</v>
      </c>
      <c r="N81">
        <v>-4925000000</v>
      </c>
      <c r="O81">
        <v>6916700000</v>
      </c>
    </row>
    <row r="82" spans="1:16" x14ac:dyDescent="0.25">
      <c r="A82" s="1" t="s">
        <v>396</v>
      </c>
      <c r="B82" s="1"/>
      <c r="C82" s="1"/>
      <c r="D82" s="1" t="s">
        <v>1326</v>
      </c>
      <c r="E82" s="1" t="s">
        <v>397</v>
      </c>
      <c r="F82" s="1" t="s">
        <v>398</v>
      </c>
      <c r="G82" s="1" t="s">
        <v>1116</v>
      </c>
      <c r="H82" s="1" t="s">
        <v>399</v>
      </c>
      <c r="I82" s="1" t="s">
        <v>33</v>
      </c>
      <c r="J82" s="1" t="s">
        <v>52</v>
      </c>
      <c r="K82" t="s">
        <v>400</v>
      </c>
      <c r="L82">
        <v>2469296</v>
      </c>
      <c r="M82" s="3">
        <v>267667</v>
      </c>
      <c r="N82">
        <v>-100000000</v>
      </c>
      <c r="O82">
        <v>1175000000</v>
      </c>
      <c r="P82">
        <v>20391</v>
      </c>
    </row>
    <row r="83" spans="1:16" x14ac:dyDescent="0.25">
      <c r="A83" s="1" t="s">
        <v>1196</v>
      </c>
      <c r="B83" s="1" t="s">
        <v>1318</v>
      </c>
      <c r="C83" s="1"/>
      <c r="D83" s="1"/>
      <c r="E83" s="1" t="s">
        <v>1048</v>
      </c>
      <c r="F83" s="1" t="s">
        <v>1049</v>
      </c>
      <c r="G83" s="1" t="s">
        <v>398</v>
      </c>
      <c r="H83" s="1" t="s">
        <v>1050</v>
      </c>
      <c r="I83" s="1" t="s">
        <v>33</v>
      </c>
      <c r="J83" s="1" t="s">
        <v>141</v>
      </c>
      <c r="K83" t="s">
        <v>1051</v>
      </c>
      <c r="L83">
        <v>2442712</v>
      </c>
      <c r="M83" s="3">
        <v>11300</v>
      </c>
      <c r="N83">
        <v>1346666666</v>
      </c>
      <c r="O83">
        <v>-1656666666</v>
      </c>
      <c r="P83">
        <v>2771</v>
      </c>
    </row>
    <row r="84" spans="1:16" x14ac:dyDescent="0.25">
      <c r="A84" s="1" t="s">
        <v>401</v>
      </c>
      <c r="B84" s="1"/>
      <c r="C84" s="1"/>
      <c r="D84" s="1"/>
      <c r="E84" s="1" t="s">
        <v>402</v>
      </c>
      <c r="F84" s="1" t="s">
        <v>403</v>
      </c>
      <c r="G84" s="1" t="s">
        <v>449</v>
      </c>
      <c r="H84" s="1" t="s">
        <v>404</v>
      </c>
      <c r="I84" s="1" t="s">
        <v>15</v>
      </c>
      <c r="J84" s="1" t="s">
        <v>81</v>
      </c>
      <c r="K84" t="s">
        <v>405</v>
      </c>
      <c r="L84">
        <v>3941100</v>
      </c>
      <c r="M84" s="3">
        <v>69700</v>
      </c>
      <c r="N84">
        <v>4200000000</v>
      </c>
      <c r="O84">
        <v>4350000000</v>
      </c>
      <c r="P84">
        <v>35353</v>
      </c>
    </row>
    <row r="85" spans="1:16" x14ac:dyDescent="0.25">
      <c r="A85" s="1" t="s">
        <v>406</v>
      </c>
      <c r="B85" s="1" t="s">
        <v>1278</v>
      </c>
      <c r="C85" s="1"/>
      <c r="D85" s="1"/>
      <c r="E85" s="1" t="s">
        <v>407</v>
      </c>
      <c r="F85" s="1" t="s">
        <v>408</v>
      </c>
      <c r="G85" s="1" t="s">
        <v>1049</v>
      </c>
      <c r="H85" s="1" t="s">
        <v>409</v>
      </c>
      <c r="I85" s="1" t="s">
        <v>21</v>
      </c>
      <c r="J85" s="1" t="s">
        <v>98</v>
      </c>
      <c r="K85" t="s">
        <v>410</v>
      </c>
      <c r="L85">
        <v>83467117</v>
      </c>
      <c r="M85" s="3">
        <v>357021</v>
      </c>
      <c r="N85">
        <v>5100000000</v>
      </c>
      <c r="O85">
        <v>900000000</v>
      </c>
      <c r="P85">
        <v>4744804</v>
      </c>
    </row>
    <row r="86" spans="1:16" x14ac:dyDescent="0.25">
      <c r="A86" s="1" t="s">
        <v>411</v>
      </c>
      <c r="B86" s="1" t="s">
        <v>1202</v>
      </c>
      <c r="C86" s="1"/>
      <c r="D86" s="1"/>
      <c r="E86" s="1" t="s">
        <v>412</v>
      </c>
      <c r="F86" s="1" t="s">
        <v>413</v>
      </c>
      <c r="G86" s="1" t="s">
        <v>413</v>
      </c>
      <c r="H86" s="1" t="s">
        <v>414</v>
      </c>
      <c r="I86" s="1" t="s">
        <v>33</v>
      </c>
      <c r="J86" s="1" t="s">
        <v>141</v>
      </c>
      <c r="K86" t="s">
        <v>415</v>
      </c>
      <c r="L86">
        <v>33742380</v>
      </c>
      <c r="M86" s="3">
        <v>239460</v>
      </c>
      <c r="N86">
        <v>800000000</v>
      </c>
      <c r="O86">
        <v>-200000000</v>
      </c>
      <c r="P86">
        <v>88332</v>
      </c>
    </row>
    <row r="87" spans="1:16" x14ac:dyDescent="0.25">
      <c r="A87" s="1" t="s">
        <v>416</v>
      </c>
      <c r="B87" s="1"/>
      <c r="C87" s="1"/>
      <c r="D87" s="1"/>
      <c r="E87" s="1" t="s">
        <v>417</v>
      </c>
      <c r="F87" s="1" t="s">
        <v>418</v>
      </c>
      <c r="G87" s="1" t="s">
        <v>418</v>
      </c>
      <c r="H87" s="1" t="s">
        <v>416</v>
      </c>
      <c r="I87" s="1" t="s">
        <v>21</v>
      </c>
      <c r="J87" s="1" t="s">
        <v>27</v>
      </c>
      <c r="K87" t="s">
        <v>1321</v>
      </c>
      <c r="L87">
        <v>38196</v>
      </c>
      <c r="M87" s="3">
        <v>6</v>
      </c>
      <c r="N87">
        <v>3613333333</v>
      </c>
      <c r="O87">
        <v>-535000000</v>
      </c>
    </row>
    <row r="88" spans="1:16" x14ac:dyDescent="0.25">
      <c r="A88" s="1" t="s">
        <v>419</v>
      </c>
      <c r="B88" s="1"/>
      <c r="C88" s="1"/>
      <c r="D88" s="1" t="s">
        <v>1315</v>
      </c>
      <c r="E88" s="1" t="s">
        <v>420</v>
      </c>
      <c r="F88" s="1" t="s">
        <v>421</v>
      </c>
      <c r="G88" s="1" t="s">
        <v>421</v>
      </c>
      <c r="H88" s="1" t="s">
        <v>422</v>
      </c>
      <c r="I88" s="1" t="s">
        <v>21</v>
      </c>
      <c r="J88" s="1" t="s">
        <v>27</v>
      </c>
      <c r="K88" t="s">
        <v>1316</v>
      </c>
      <c r="L88">
        <v>10372335</v>
      </c>
      <c r="M88">
        <v>131957</v>
      </c>
    </row>
    <row r="89" spans="1:16" x14ac:dyDescent="0.25">
      <c r="A89" s="1" t="s">
        <v>423</v>
      </c>
      <c r="B89" s="1"/>
      <c r="C89" s="1"/>
      <c r="D89" s="1"/>
      <c r="E89" s="1" t="s">
        <v>424</v>
      </c>
      <c r="F89" s="1" t="s">
        <v>425</v>
      </c>
      <c r="G89" s="1" t="s">
        <v>425</v>
      </c>
      <c r="H89" s="1" t="s">
        <v>426</v>
      </c>
      <c r="I89" s="1" t="s">
        <v>58</v>
      </c>
      <c r="J89" s="1" t="s">
        <v>147</v>
      </c>
      <c r="K89" t="s">
        <v>427</v>
      </c>
      <c r="L89">
        <v>56740</v>
      </c>
      <c r="M89" s="3">
        <v>2166086</v>
      </c>
      <c r="N89">
        <v>7200000000</v>
      </c>
      <c r="O89">
        <v>-4000000000</v>
      </c>
    </row>
    <row r="90" spans="1:16" x14ac:dyDescent="0.25">
      <c r="A90" s="1" t="s">
        <v>428</v>
      </c>
      <c r="B90" s="1"/>
      <c r="C90" s="1"/>
      <c r="D90" s="1"/>
      <c r="E90" s="1" t="s">
        <v>429</v>
      </c>
      <c r="F90" s="1" t="s">
        <v>430</v>
      </c>
      <c r="G90" s="1" t="s">
        <v>1397</v>
      </c>
      <c r="H90" s="1" t="s">
        <v>431</v>
      </c>
      <c r="I90" s="1" t="s">
        <v>58</v>
      </c>
      <c r="J90" s="1" t="s">
        <v>59</v>
      </c>
      <c r="K90" t="s">
        <v>432</v>
      </c>
      <c r="L90">
        <v>109021</v>
      </c>
      <c r="M90" s="3">
        <v>344</v>
      </c>
      <c r="N90">
        <v>1211666666</v>
      </c>
      <c r="O90">
        <v>-6166666666</v>
      </c>
      <c r="P90">
        <v>1464</v>
      </c>
    </row>
    <row r="91" spans="1:16" x14ac:dyDescent="0.25">
      <c r="A91" s="1" t="s">
        <v>433</v>
      </c>
      <c r="B91" s="1"/>
      <c r="C91" s="1"/>
      <c r="D91" s="1"/>
      <c r="E91" s="1" t="s">
        <v>434</v>
      </c>
      <c r="F91" s="1" t="s">
        <v>435</v>
      </c>
      <c r="G91" s="1" t="s">
        <v>435</v>
      </c>
      <c r="H91" s="1" t="s">
        <v>436</v>
      </c>
      <c r="I91" s="1" t="s">
        <v>58</v>
      </c>
      <c r="J91" s="1" t="s">
        <v>59</v>
      </c>
      <c r="K91" t="s">
        <v>1319</v>
      </c>
      <c r="L91">
        <v>378561</v>
      </c>
      <c r="M91" s="3">
        <v>1780</v>
      </c>
      <c r="N91">
        <v>1625000000</v>
      </c>
      <c r="O91">
        <v>-6158333300</v>
      </c>
    </row>
    <row r="92" spans="1:16" x14ac:dyDescent="0.25">
      <c r="A92" s="1" t="s">
        <v>437</v>
      </c>
      <c r="B92" s="1"/>
      <c r="C92" s="1"/>
      <c r="D92" s="1"/>
      <c r="E92" s="1" t="s">
        <v>438</v>
      </c>
      <c r="F92" s="1" t="s">
        <v>439</v>
      </c>
      <c r="G92" s="1" t="s">
        <v>338</v>
      </c>
      <c r="H92" s="1" t="s">
        <v>1313</v>
      </c>
      <c r="I92" s="1" t="s">
        <v>40</v>
      </c>
      <c r="J92" s="1" t="s">
        <v>440</v>
      </c>
      <c r="K92" t="s">
        <v>441</v>
      </c>
      <c r="L92">
        <v>153836</v>
      </c>
      <c r="M92">
        <v>540</v>
      </c>
    </row>
    <row r="93" spans="1:16" x14ac:dyDescent="0.25">
      <c r="A93" s="1" t="s">
        <v>442</v>
      </c>
      <c r="B93" s="1" t="s">
        <v>1202</v>
      </c>
      <c r="C93" s="1"/>
      <c r="D93" s="1"/>
      <c r="E93" s="1" t="s">
        <v>443</v>
      </c>
      <c r="F93" s="1" t="s">
        <v>444</v>
      </c>
      <c r="G93" s="1" t="s">
        <v>444</v>
      </c>
      <c r="H93" s="1" t="s">
        <v>445</v>
      </c>
      <c r="I93" s="1" t="s">
        <v>58</v>
      </c>
      <c r="J93" s="1" t="s">
        <v>135</v>
      </c>
      <c r="K93" t="s">
        <v>446</v>
      </c>
      <c r="L93">
        <v>18312373</v>
      </c>
      <c r="M93" s="3">
        <v>108890</v>
      </c>
      <c r="N93">
        <v>1550000000</v>
      </c>
      <c r="O93">
        <v>-9025000000</v>
      </c>
      <c r="P93">
        <v>121177</v>
      </c>
    </row>
    <row r="94" spans="1:16" x14ac:dyDescent="0.25">
      <c r="A94" s="1" t="s">
        <v>447</v>
      </c>
      <c r="B94" s="1" t="s">
        <v>1304</v>
      </c>
      <c r="C94" s="1"/>
      <c r="D94" s="1"/>
      <c r="E94" s="1" t="s">
        <v>448</v>
      </c>
      <c r="F94" s="1" t="s">
        <v>449</v>
      </c>
      <c r="G94" s="1" t="s">
        <v>1398</v>
      </c>
      <c r="H94" s="1" t="s">
        <v>1322</v>
      </c>
      <c r="I94" s="1" t="s">
        <v>21</v>
      </c>
      <c r="J94" s="1" t="s">
        <v>22</v>
      </c>
      <c r="K94" t="s">
        <v>1323</v>
      </c>
      <c r="L94">
        <v>64781</v>
      </c>
      <c r="M94" s="3">
        <v>78</v>
      </c>
      <c r="N94">
        <v>4946666666</v>
      </c>
      <c r="O94">
        <v>-258333333</v>
      </c>
    </row>
    <row r="95" spans="1:16" x14ac:dyDescent="0.25">
      <c r="A95" s="1" t="s">
        <v>450</v>
      </c>
      <c r="B95" s="1" t="s">
        <v>1202</v>
      </c>
      <c r="C95" s="1"/>
      <c r="D95" s="1" t="s">
        <v>1320</v>
      </c>
      <c r="E95" s="1" t="s">
        <v>451</v>
      </c>
      <c r="F95" s="1" t="s">
        <v>452</v>
      </c>
      <c r="G95" s="1" t="s">
        <v>1399</v>
      </c>
      <c r="H95" s="1" t="s">
        <v>453</v>
      </c>
      <c r="I95" s="1" t="s">
        <v>33</v>
      </c>
      <c r="J95" s="1" t="s">
        <v>141</v>
      </c>
      <c r="K95" t="s">
        <v>454</v>
      </c>
      <c r="L95">
        <v>17521167</v>
      </c>
      <c r="M95" s="3">
        <v>245857</v>
      </c>
      <c r="N95">
        <v>1100000000</v>
      </c>
      <c r="O95">
        <v>-1000000000</v>
      </c>
      <c r="P95">
        <v>30094</v>
      </c>
    </row>
    <row r="96" spans="1:16" x14ac:dyDescent="0.25">
      <c r="A96" s="1" t="s">
        <v>455</v>
      </c>
      <c r="B96" s="1" t="s">
        <v>1202</v>
      </c>
      <c r="C96" s="1"/>
      <c r="D96" s="1"/>
      <c r="E96" s="1" t="s">
        <v>456</v>
      </c>
      <c r="F96" s="1" t="s">
        <v>457</v>
      </c>
      <c r="G96" s="1" t="s">
        <v>1418</v>
      </c>
      <c r="H96" s="1" t="s">
        <v>458</v>
      </c>
      <c r="I96" s="1" t="s">
        <v>33</v>
      </c>
      <c r="J96" s="1" t="s">
        <v>141</v>
      </c>
      <c r="K96" t="s">
        <v>459</v>
      </c>
      <c r="L96">
        <v>1852784</v>
      </c>
      <c r="M96" s="3">
        <v>36120</v>
      </c>
      <c r="N96">
        <v>1200000000</v>
      </c>
      <c r="O96">
        <v>-1500000000</v>
      </c>
      <c r="P96">
        <v>2274</v>
      </c>
    </row>
    <row r="97" spans="1:16" x14ac:dyDescent="0.25">
      <c r="A97" s="1" t="s">
        <v>460</v>
      </c>
      <c r="B97" s="1" t="s">
        <v>1312</v>
      </c>
      <c r="C97" s="1"/>
      <c r="D97" s="1"/>
      <c r="E97" s="1" t="s">
        <v>461</v>
      </c>
      <c r="F97" s="1" t="s">
        <v>462</v>
      </c>
      <c r="G97" s="1" t="s">
        <v>462</v>
      </c>
      <c r="H97" s="1" t="s">
        <v>463</v>
      </c>
      <c r="I97" s="1" t="s">
        <v>58</v>
      </c>
      <c r="J97" s="1" t="s">
        <v>75</v>
      </c>
      <c r="K97" t="s">
        <v>464</v>
      </c>
      <c r="L97">
        <v>956044</v>
      </c>
      <c r="M97" s="3">
        <v>214970</v>
      </c>
      <c r="N97">
        <v>500000000</v>
      </c>
      <c r="O97">
        <v>-5900000000</v>
      </c>
      <c r="P97">
        <v>25822</v>
      </c>
    </row>
    <row r="98" spans="1:16" x14ac:dyDescent="0.25">
      <c r="A98" s="1" t="s">
        <v>465</v>
      </c>
      <c r="B98" s="1" t="s">
        <v>1202</v>
      </c>
      <c r="C98" s="1"/>
      <c r="D98" s="1"/>
      <c r="E98" s="1" t="s">
        <v>466</v>
      </c>
      <c r="F98" s="1" t="s">
        <v>467</v>
      </c>
      <c r="G98" s="1" t="s">
        <v>1400</v>
      </c>
      <c r="H98" s="1" t="s">
        <v>468</v>
      </c>
      <c r="I98" s="1" t="s">
        <v>58</v>
      </c>
      <c r="J98" s="1" t="s">
        <v>59</v>
      </c>
      <c r="K98" t="s">
        <v>469</v>
      </c>
      <c r="L98">
        <v>11867032</v>
      </c>
      <c r="M98" s="3">
        <v>27750</v>
      </c>
      <c r="N98">
        <v>1900000000</v>
      </c>
      <c r="O98">
        <v>-7241666666</v>
      </c>
      <c r="P98">
        <v>33548</v>
      </c>
    </row>
    <row r="99" spans="1:16" x14ac:dyDescent="0.25">
      <c r="A99" s="1" t="s">
        <v>470</v>
      </c>
      <c r="B99" s="1"/>
      <c r="C99" s="1"/>
      <c r="D99" s="1"/>
      <c r="E99" s="1" t="s">
        <v>471</v>
      </c>
      <c r="F99" s="1" t="s">
        <v>472</v>
      </c>
      <c r="G99" s="1" t="s">
        <v>472</v>
      </c>
      <c r="H99" s="1" t="e">
        <f>NA()</f>
        <v>#N/A</v>
      </c>
      <c r="I99" s="1" t="e">
        <f>NA()</f>
        <v>#N/A</v>
      </c>
      <c r="J99" s="1" t="e">
        <f>NA()</f>
        <v>#N/A</v>
      </c>
      <c r="K99" t="e">
        <f>NA()</f>
        <v>#N/A</v>
      </c>
      <c r="L99">
        <v>0</v>
      </c>
      <c r="M99">
        <v>6589</v>
      </c>
      <c r="N99">
        <v>-5310000000</v>
      </c>
      <c r="O99">
        <v>7251666666</v>
      </c>
    </row>
    <row r="100" spans="1:16" x14ac:dyDescent="0.25">
      <c r="A100" s="1" t="s">
        <v>1218</v>
      </c>
      <c r="B100" s="1" t="s">
        <v>1188</v>
      </c>
      <c r="C100" s="1"/>
      <c r="D100" s="1" t="s">
        <v>1297</v>
      </c>
      <c r="E100" s="1" t="s">
        <v>1141</v>
      </c>
      <c r="F100" s="1" t="s">
        <v>1142</v>
      </c>
      <c r="G100" s="1" t="s">
        <v>1417</v>
      </c>
      <c r="H100" s="1" t="s">
        <v>1143</v>
      </c>
      <c r="I100" s="1" t="s">
        <v>21</v>
      </c>
      <c r="J100" s="1" t="s">
        <v>27</v>
      </c>
      <c r="K100" t="s">
        <v>1144</v>
      </c>
      <c r="L100">
        <v>882</v>
      </c>
      <c r="M100" s="3">
        <v>0</v>
      </c>
      <c r="N100">
        <v>4190000000</v>
      </c>
      <c r="O100">
        <v>1245000000</v>
      </c>
    </row>
    <row r="101" spans="1:16" x14ac:dyDescent="0.25">
      <c r="A101" s="1" t="s">
        <v>473</v>
      </c>
      <c r="B101" s="1" t="s">
        <v>1202</v>
      </c>
      <c r="C101" s="1"/>
      <c r="D101" s="1"/>
      <c r="E101" s="1" t="s">
        <v>474</v>
      </c>
      <c r="F101" s="1" t="s">
        <v>475</v>
      </c>
      <c r="G101" s="1" t="s">
        <v>1401</v>
      </c>
      <c r="H101" s="1" t="s">
        <v>476</v>
      </c>
      <c r="I101" s="1" t="s">
        <v>58</v>
      </c>
      <c r="J101" s="1" t="s">
        <v>135</v>
      </c>
      <c r="K101" t="s">
        <v>477</v>
      </c>
      <c r="L101">
        <v>10186738</v>
      </c>
      <c r="M101" s="3">
        <v>112090</v>
      </c>
      <c r="N101">
        <v>1500000000</v>
      </c>
      <c r="O101">
        <v>-8650000000</v>
      </c>
      <c r="P101">
        <v>38172</v>
      </c>
    </row>
    <row r="102" spans="1:16" x14ac:dyDescent="0.25">
      <c r="A102" s="1" t="s">
        <v>480</v>
      </c>
      <c r="B102" s="1"/>
      <c r="C102" s="1" t="s">
        <v>1197</v>
      </c>
      <c r="D102" s="1"/>
      <c r="E102" s="1" t="s">
        <v>478</v>
      </c>
      <c r="F102" s="1" t="s">
        <v>479</v>
      </c>
      <c r="G102" s="1" t="s">
        <v>479</v>
      </c>
      <c r="H102" s="1" t="s">
        <v>480</v>
      </c>
      <c r="I102" s="1" t="s">
        <v>15</v>
      </c>
      <c r="J102" s="1" t="s">
        <v>243</v>
      </c>
      <c r="K102" t="s">
        <v>1311</v>
      </c>
      <c r="L102">
        <v>7510800</v>
      </c>
      <c r="M102">
        <v>2754</v>
      </c>
    </row>
    <row r="103" spans="1:16" x14ac:dyDescent="0.25">
      <c r="A103" s="1" t="s">
        <v>481</v>
      </c>
      <c r="B103" s="1"/>
      <c r="C103" s="1"/>
      <c r="D103" s="1"/>
      <c r="E103" s="1" t="s">
        <v>482</v>
      </c>
      <c r="F103" s="1" t="s">
        <v>483</v>
      </c>
      <c r="G103" s="1" t="s">
        <v>483</v>
      </c>
      <c r="H103" s="1" t="s">
        <v>484</v>
      </c>
      <c r="I103" s="1" t="s">
        <v>21</v>
      </c>
      <c r="J103" s="1" t="s">
        <v>124</v>
      </c>
      <c r="K103" t="s">
        <v>485</v>
      </c>
      <c r="L103">
        <v>9489000</v>
      </c>
      <c r="M103">
        <v>93030</v>
      </c>
    </row>
    <row r="104" spans="1:16" x14ac:dyDescent="0.25">
      <c r="A104" s="1" t="s">
        <v>486</v>
      </c>
      <c r="B104" s="1"/>
      <c r="C104" s="1"/>
      <c r="D104" s="1"/>
      <c r="E104" s="1" t="s">
        <v>487</v>
      </c>
      <c r="F104" s="1" t="s">
        <v>488</v>
      </c>
      <c r="G104" s="1" t="s">
        <v>1402</v>
      </c>
      <c r="H104" s="1" t="s">
        <v>1307</v>
      </c>
      <c r="I104" s="1" t="s">
        <v>21</v>
      </c>
      <c r="J104" s="1" t="s">
        <v>22</v>
      </c>
      <c r="K104" t="s">
        <v>1308</v>
      </c>
      <c r="L104">
        <v>395050</v>
      </c>
      <c r="M104" s="3">
        <v>103000</v>
      </c>
      <c r="N104">
        <v>6500000000</v>
      </c>
      <c r="O104">
        <v>-1800000000</v>
      </c>
      <c r="P104">
        <v>35309</v>
      </c>
    </row>
    <row r="105" spans="1:16" x14ac:dyDescent="0.25">
      <c r="A105" s="1" t="s">
        <v>489</v>
      </c>
      <c r="B105" s="1" t="s">
        <v>1202</v>
      </c>
      <c r="C105" s="1"/>
      <c r="D105" s="1"/>
      <c r="E105" s="1" t="s">
        <v>490</v>
      </c>
      <c r="F105" s="1" t="s">
        <v>491</v>
      </c>
      <c r="G105" s="1" t="s">
        <v>491</v>
      </c>
      <c r="H105" s="1" t="s">
        <v>492</v>
      </c>
      <c r="I105" s="1" t="s">
        <v>15</v>
      </c>
      <c r="J105" s="1" t="s">
        <v>16</v>
      </c>
      <c r="K105" t="s">
        <v>493</v>
      </c>
      <c r="L105">
        <v>1429404000</v>
      </c>
      <c r="M105" s="3">
        <v>3287590</v>
      </c>
      <c r="N105">
        <v>2000000000</v>
      </c>
      <c r="O105">
        <v>7700000000</v>
      </c>
      <c r="P105">
        <v>4187017</v>
      </c>
    </row>
    <row r="106" spans="1:16" x14ac:dyDescent="0.25">
      <c r="A106" s="1" t="s">
        <v>494</v>
      </c>
      <c r="B106" s="1" t="s">
        <v>1202</v>
      </c>
      <c r="C106" s="1"/>
      <c r="D106" s="1"/>
      <c r="E106" s="1" t="s">
        <v>495</v>
      </c>
      <c r="F106" s="1" t="s">
        <v>496</v>
      </c>
      <c r="G106" s="1" t="s">
        <v>496</v>
      </c>
      <c r="H106" s="1" t="s">
        <v>497</v>
      </c>
      <c r="I106" s="1" t="s">
        <v>15</v>
      </c>
      <c r="J106" s="1" t="s">
        <v>185</v>
      </c>
      <c r="K106" t="s">
        <v>498</v>
      </c>
      <c r="L106">
        <v>288315089</v>
      </c>
      <c r="M106" s="3">
        <v>1919440</v>
      </c>
      <c r="N106">
        <v>-500000000</v>
      </c>
      <c r="O106">
        <v>12000000000</v>
      </c>
      <c r="P106">
        <v>1429743</v>
      </c>
    </row>
    <row r="107" spans="1:16" x14ac:dyDescent="0.25">
      <c r="A107" s="1" t="s">
        <v>499</v>
      </c>
      <c r="B107" s="1" t="s">
        <v>1275</v>
      </c>
      <c r="C107" s="1"/>
      <c r="D107" s="1"/>
      <c r="E107" s="1" t="s">
        <v>500</v>
      </c>
      <c r="F107" s="1" t="s">
        <v>501</v>
      </c>
      <c r="G107" s="1" t="s">
        <v>501</v>
      </c>
      <c r="H107" s="1" t="s">
        <v>502</v>
      </c>
      <c r="I107" s="1" t="s">
        <v>15</v>
      </c>
      <c r="J107" s="1" t="s">
        <v>16</v>
      </c>
      <c r="K107" t="s">
        <v>503</v>
      </c>
      <c r="L107">
        <v>87134000</v>
      </c>
      <c r="M107">
        <v>1648195</v>
      </c>
    </row>
    <row r="108" spans="1:16" x14ac:dyDescent="0.25">
      <c r="A108" s="1" t="s">
        <v>504</v>
      </c>
      <c r="B108" s="1" t="s">
        <v>1202</v>
      </c>
      <c r="C108" s="1"/>
      <c r="D108" s="1"/>
      <c r="E108" s="1" t="s">
        <v>505</v>
      </c>
      <c r="F108" s="1" t="s">
        <v>506</v>
      </c>
      <c r="G108" s="1" t="s">
        <v>1403</v>
      </c>
      <c r="H108" s="1" t="s">
        <v>507</v>
      </c>
      <c r="I108" s="1" t="s">
        <v>15</v>
      </c>
      <c r="J108" s="1" t="s">
        <v>81</v>
      </c>
      <c r="K108" t="s">
        <v>508</v>
      </c>
      <c r="L108">
        <v>46118793</v>
      </c>
      <c r="M108" s="3">
        <v>437072</v>
      </c>
      <c r="N108">
        <v>3300000000</v>
      </c>
      <c r="O108">
        <v>4400000000</v>
      </c>
      <c r="P108">
        <v>258020</v>
      </c>
    </row>
    <row r="109" spans="1:16" x14ac:dyDescent="0.25">
      <c r="A109" s="1" t="s">
        <v>509</v>
      </c>
      <c r="B109" s="1" t="s">
        <v>1202</v>
      </c>
      <c r="C109" s="1"/>
      <c r="D109" s="1"/>
      <c r="E109" s="1" t="s">
        <v>510</v>
      </c>
      <c r="F109" s="1" t="s">
        <v>511</v>
      </c>
      <c r="G109" s="1" t="s">
        <v>1404</v>
      </c>
      <c r="H109" s="1" t="s">
        <v>512</v>
      </c>
      <c r="I109" s="1" t="s">
        <v>21</v>
      </c>
      <c r="J109" s="1" t="s">
        <v>22</v>
      </c>
      <c r="K109" t="s">
        <v>513</v>
      </c>
      <c r="L109">
        <v>5458600</v>
      </c>
      <c r="M109" s="3">
        <v>70280</v>
      </c>
      <c r="N109">
        <v>5300000000</v>
      </c>
      <c r="O109">
        <v>-800000000</v>
      </c>
      <c r="P109">
        <v>598840</v>
      </c>
    </row>
    <row r="110" spans="1:16" x14ac:dyDescent="0.25">
      <c r="A110" s="1" t="s">
        <v>1198</v>
      </c>
      <c r="B110" s="1"/>
      <c r="C110" s="1"/>
      <c r="D110" s="1" t="s">
        <v>1309</v>
      </c>
      <c r="E110" s="1" t="s">
        <v>651</v>
      </c>
      <c r="F110" s="1" t="s">
        <v>652</v>
      </c>
      <c r="G110" s="1" t="s">
        <v>652</v>
      </c>
      <c r="H110" s="1" t="s">
        <v>653</v>
      </c>
      <c r="I110" s="1" t="s">
        <v>21</v>
      </c>
      <c r="J110" s="1" t="s">
        <v>22</v>
      </c>
      <c r="K110" t="s">
        <v>1310</v>
      </c>
      <c r="L110">
        <v>84523</v>
      </c>
      <c r="M110">
        <v>574</v>
      </c>
    </row>
    <row r="111" spans="1:16" x14ac:dyDescent="0.25">
      <c r="A111" s="1" t="s">
        <v>514</v>
      </c>
      <c r="B111" s="1" t="s">
        <v>1271</v>
      </c>
      <c r="C111" s="1"/>
      <c r="D111" s="1"/>
      <c r="E111" s="1" t="s">
        <v>515</v>
      </c>
      <c r="F111" s="1" t="s">
        <v>516</v>
      </c>
      <c r="G111" s="1" t="s">
        <v>488</v>
      </c>
      <c r="H111" s="1" t="s">
        <v>517</v>
      </c>
      <c r="I111" s="1" t="s">
        <v>15</v>
      </c>
      <c r="J111" s="1" t="s">
        <v>81</v>
      </c>
      <c r="K111" t="s">
        <v>518</v>
      </c>
      <c r="L111">
        <v>10252800</v>
      </c>
      <c r="M111" s="3">
        <v>20770</v>
      </c>
      <c r="N111">
        <v>3150000000</v>
      </c>
      <c r="O111">
        <v>3475000000</v>
      </c>
      <c r="P111">
        <v>583361</v>
      </c>
    </row>
    <row r="112" spans="1:16" x14ac:dyDescent="0.25">
      <c r="A112" s="1" t="s">
        <v>519</v>
      </c>
      <c r="B112" s="1"/>
      <c r="C112" s="1"/>
      <c r="D112" s="1" t="s">
        <v>1306</v>
      </c>
      <c r="E112" s="1" t="s">
        <v>520</v>
      </c>
      <c r="F112" s="1" t="s">
        <v>521</v>
      </c>
      <c r="G112" s="1" t="s">
        <v>521</v>
      </c>
      <c r="H112" s="1" t="s">
        <v>522</v>
      </c>
      <c r="I112" s="1" t="s">
        <v>21</v>
      </c>
      <c r="J112" s="1" t="s">
        <v>27</v>
      </c>
      <c r="K112" t="s">
        <v>523</v>
      </c>
      <c r="L112">
        <v>58936123</v>
      </c>
      <c r="M112" s="3">
        <v>301230</v>
      </c>
      <c r="N112">
        <v>4283333333</v>
      </c>
      <c r="O112">
        <v>1283333333</v>
      </c>
      <c r="P112">
        <v>2422855</v>
      </c>
    </row>
    <row r="113" spans="1:16" x14ac:dyDescent="0.25">
      <c r="A113" s="1" t="s">
        <v>524</v>
      </c>
      <c r="B113" s="1" t="s">
        <v>1202</v>
      </c>
      <c r="C113" s="1"/>
      <c r="D113" s="1" t="s">
        <v>1350</v>
      </c>
      <c r="E113" s="1" t="s">
        <v>525</v>
      </c>
      <c r="F113" s="1" t="s">
        <v>526</v>
      </c>
      <c r="G113" s="1" t="s">
        <v>1405</v>
      </c>
      <c r="H113" s="1" t="s">
        <v>527</v>
      </c>
      <c r="I113" s="1" t="s">
        <v>33</v>
      </c>
      <c r="J113" s="1" t="s">
        <v>141</v>
      </c>
      <c r="K113" t="s">
        <v>528</v>
      </c>
      <c r="L113">
        <v>32494020</v>
      </c>
      <c r="M113" s="3">
        <v>322460</v>
      </c>
      <c r="N113">
        <v>800000000</v>
      </c>
      <c r="O113">
        <v>-500000000</v>
      </c>
      <c r="P113">
        <v>94483</v>
      </c>
    </row>
    <row r="114" spans="1:16" x14ac:dyDescent="0.25">
      <c r="A114" s="1" t="s">
        <v>529</v>
      </c>
      <c r="B114" s="1"/>
      <c r="C114" s="1"/>
      <c r="D114" s="1"/>
      <c r="E114" s="1" t="s">
        <v>530</v>
      </c>
      <c r="F114" s="1" t="s">
        <v>531</v>
      </c>
      <c r="G114" s="1" t="s">
        <v>531</v>
      </c>
      <c r="H114" s="1" t="s">
        <v>532</v>
      </c>
      <c r="I114" s="1" t="s">
        <v>58</v>
      </c>
      <c r="J114" s="1" t="s">
        <v>59</v>
      </c>
      <c r="K114" t="s">
        <v>533</v>
      </c>
      <c r="L114">
        <v>2774538</v>
      </c>
      <c r="M114" s="3">
        <v>10991</v>
      </c>
      <c r="N114">
        <v>1825000000</v>
      </c>
      <c r="O114">
        <v>-7750000000</v>
      </c>
      <c r="P114">
        <v>21411</v>
      </c>
    </row>
    <row r="115" spans="1:16" x14ac:dyDescent="0.25">
      <c r="A115" s="1" t="s">
        <v>534</v>
      </c>
      <c r="B115" s="1"/>
      <c r="C115" s="1"/>
      <c r="D115" s="1"/>
      <c r="E115" s="1" t="s">
        <v>535</v>
      </c>
      <c r="F115" s="1" t="s">
        <v>536</v>
      </c>
      <c r="G115" s="1" t="s">
        <v>1406</v>
      </c>
      <c r="H115" s="1" t="s">
        <v>537</v>
      </c>
      <c r="I115" s="1" t="s">
        <v>15</v>
      </c>
      <c r="J115" s="1" t="s">
        <v>243</v>
      </c>
      <c r="K115" t="s">
        <v>538</v>
      </c>
      <c r="L115">
        <v>122850000</v>
      </c>
      <c r="M115" s="3">
        <v>377835</v>
      </c>
      <c r="N115">
        <v>3600000000</v>
      </c>
      <c r="O115">
        <v>13800000000</v>
      </c>
      <c r="P115">
        <v>4186431</v>
      </c>
    </row>
    <row r="116" spans="1:16" x14ac:dyDescent="0.25">
      <c r="A116" s="1" t="s">
        <v>539</v>
      </c>
      <c r="B116" s="1" t="s">
        <v>1304</v>
      </c>
      <c r="C116" s="1"/>
      <c r="D116" s="1"/>
      <c r="E116" s="1" t="s">
        <v>540</v>
      </c>
      <c r="F116" s="1" t="s">
        <v>541</v>
      </c>
      <c r="G116" s="1" t="s">
        <v>541</v>
      </c>
      <c r="H116" s="1" t="s">
        <v>542</v>
      </c>
      <c r="I116" s="1" t="s">
        <v>21</v>
      </c>
      <c r="J116" s="1" t="s">
        <v>22</v>
      </c>
      <c r="K116" t="s">
        <v>1305</v>
      </c>
      <c r="L116">
        <v>103267</v>
      </c>
      <c r="M116" s="3">
        <v>116</v>
      </c>
      <c r="N116">
        <v>4925000000</v>
      </c>
      <c r="O116">
        <v>-216666666</v>
      </c>
    </row>
    <row r="117" spans="1:16" x14ac:dyDescent="0.25">
      <c r="A117" s="1" t="s">
        <v>543</v>
      </c>
      <c r="B117" s="1" t="s">
        <v>1303</v>
      </c>
      <c r="C117" s="1"/>
      <c r="D117" s="1"/>
      <c r="E117" s="1" t="s">
        <v>544</v>
      </c>
      <c r="F117" s="1" t="s">
        <v>545</v>
      </c>
      <c r="G117" s="1" t="s">
        <v>545</v>
      </c>
      <c r="H117" s="1" t="s">
        <v>546</v>
      </c>
      <c r="I117" s="1" t="s">
        <v>15</v>
      </c>
      <c r="J117" s="1" t="s">
        <v>81</v>
      </c>
      <c r="K117" t="s">
        <v>547</v>
      </c>
      <c r="L117">
        <v>11937000</v>
      </c>
      <c r="M117" s="3">
        <v>92300</v>
      </c>
      <c r="N117">
        <v>3100000000</v>
      </c>
      <c r="O117">
        <v>3600000000</v>
      </c>
      <c r="P117">
        <v>56102</v>
      </c>
    </row>
    <row r="118" spans="1:16" x14ac:dyDescent="0.25">
      <c r="A118" s="1" t="s">
        <v>548</v>
      </c>
      <c r="B118" s="1" t="s">
        <v>1263</v>
      </c>
      <c r="C118" s="1"/>
      <c r="D118" s="1"/>
      <c r="E118" s="1" t="s">
        <v>549</v>
      </c>
      <c r="F118" s="1" t="s">
        <v>550</v>
      </c>
      <c r="G118" s="1" t="s">
        <v>550</v>
      </c>
      <c r="H118" s="1" t="s">
        <v>551</v>
      </c>
      <c r="I118" s="1" t="s">
        <v>15</v>
      </c>
      <c r="J118" s="1" t="s">
        <v>552</v>
      </c>
      <c r="K118" t="s">
        <v>553</v>
      </c>
      <c r="L118">
        <v>20575979</v>
      </c>
      <c r="M118">
        <v>2724910</v>
      </c>
    </row>
    <row r="119" spans="1:16" x14ac:dyDescent="0.25">
      <c r="A119" s="1" t="s">
        <v>554</v>
      </c>
      <c r="B119" s="1" t="s">
        <v>1263</v>
      </c>
      <c r="C119" s="1"/>
      <c r="D119" s="1"/>
      <c r="E119" s="1" t="s">
        <v>555</v>
      </c>
      <c r="F119" s="1" t="s">
        <v>556</v>
      </c>
      <c r="G119" s="1" t="s">
        <v>556</v>
      </c>
      <c r="H119" s="1" t="s">
        <v>557</v>
      </c>
      <c r="I119" s="1" t="s">
        <v>33</v>
      </c>
      <c r="J119" s="1" t="s">
        <v>180</v>
      </c>
      <c r="K119" t="s">
        <v>558</v>
      </c>
      <c r="L119">
        <v>53330978</v>
      </c>
      <c r="M119" s="3">
        <v>582650</v>
      </c>
      <c r="N119">
        <v>100000000</v>
      </c>
      <c r="O119">
        <v>3800000000</v>
      </c>
      <c r="P119">
        <v>131673</v>
      </c>
    </row>
    <row r="120" spans="1:16" x14ac:dyDescent="0.25">
      <c r="A120" s="1" t="s">
        <v>559</v>
      </c>
      <c r="B120" s="1" t="s">
        <v>1263</v>
      </c>
      <c r="C120" s="1"/>
      <c r="D120" s="1"/>
      <c r="E120" s="1" t="s">
        <v>560</v>
      </c>
      <c r="F120" s="1" t="s">
        <v>561</v>
      </c>
      <c r="G120" s="1" t="s">
        <v>978</v>
      </c>
      <c r="H120" s="1" t="s">
        <v>562</v>
      </c>
      <c r="I120" s="1" t="s">
        <v>40</v>
      </c>
      <c r="J120" s="1" t="s">
        <v>440</v>
      </c>
      <c r="K120" t="s">
        <v>563</v>
      </c>
      <c r="L120">
        <v>120740</v>
      </c>
      <c r="M120" s="3">
        <v>811</v>
      </c>
      <c r="N120">
        <v>141666666</v>
      </c>
      <c r="O120">
        <v>17300000000</v>
      </c>
      <c r="P120">
        <v>312</v>
      </c>
    </row>
    <row r="121" spans="1:16" x14ac:dyDescent="0.25">
      <c r="A121" s="1" t="s">
        <v>564</v>
      </c>
      <c r="B121" s="1" t="s">
        <v>1263</v>
      </c>
      <c r="C121" s="1"/>
      <c r="D121" s="1"/>
      <c r="E121" s="1" t="s">
        <v>565</v>
      </c>
      <c r="F121" s="1" t="s">
        <v>566</v>
      </c>
      <c r="G121" s="1" t="s">
        <v>1407</v>
      </c>
      <c r="H121" s="1" t="s">
        <v>567</v>
      </c>
      <c r="I121" s="1" t="s">
        <v>21</v>
      </c>
      <c r="J121" s="1" t="s">
        <v>124</v>
      </c>
      <c r="K121" t="s">
        <v>568</v>
      </c>
      <c r="L121">
        <v>1585566</v>
      </c>
      <c r="M121">
        <v>10877</v>
      </c>
    </row>
    <row r="122" spans="1:16" x14ac:dyDescent="0.25">
      <c r="A122" s="1" t="s">
        <v>569</v>
      </c>
      <c r="B122" s="1" t="s">
        <v>1271</v>
      </c>
      <c r="C122" s="1"/>
      <c r="D122" s="1"/>
      <c r="E122" s="1" t="s">
        <v>570</v>
      </c>
      <c r="F122" s="1" t="s">
        <v>571</v>
      </c>
      <c r="G122" s="1" t="s">
        <v>1408</v>
      </c>
      <c r="H122" s="1" t="s">
        <v>572</v>
      </c>
      <c r="I122" s="1" t="s">
        <v>15</v>
      </c>
      <c r="J122" s="1" t="s">
        <v>81</v>
      </c>
      <c r="K122" t="s">
        <v>573</v>
      </c>
      <c r="L122">
        <v>4881254</v>
      </c>
      <c r="M122" s="3">
        <v>17820</v>
      </c>
      <c r="N122">
        <v>2950000000</v>
      </c>
      <c r="O122">
        <v>4575000000</v>
      </c>
      <c r="P122">
        <v>153101</v>
      </c>
    </row>
    <row r="123" spans="1:16" x14ac:dyDescent="0.25">
      <c r="A123" s="1" t="s">
        <v>574</v>
      </c>
      <c r="B123" s="1"/>
      <c r="C123" s="1"/>
      <c r="D123" s="1" t="s">
        <v>1262</v>
      </c>
      <c r="E123" s="1" t="s">
        <v>575</v>
      </c>
      <c r="F123" s="1" t="s">
        <v>576</v>
      </c>
      <c r="G123" s="1" t="s">
        <v>576</v>
      </c>
      <c r="H123" s="1" t="s">
        <v>577</v>
      </c>
      <c r="I123" s="1" t="s">
        <v>15</v>
      </c>
      <c r="J123" s="1" t="s">
        <v>552</v>
      </c>
      <c r="K123" t="s">
        <v>578</v>
      </c>
      <c r="L123">
        <v>7404300</v>
      </c>
      <c r="M123">
        <v>200105</v>
      </c>
    </row>
    <row r="124" spans="1:16" x14ac:dyDescent="0.25">
      <c r="A124" s="1" t="s">
        <v>579</v>
      </c>
      <c r="B124" s="1"/>
      <c r="C124" s="1"/>
      <c r="D124" s="1" t="s">
        <v>1259</v>
      </c>
      <c r="E124" s="1" t="s">
        <v>580</v>
      </c>
      <c r="F124" s="1" t="s">
        <v>581</v>
      </c>
      <c r="G124" s="1" t="s">
        <v>581</v>
      </c>
      <c r="H124" s="1" t="s">
        <v>582</v>
      </c>
      <c r="I124" s="1" t="s">
        <v>15</v>
      </c>
      <c r="J124" s="1" t="s">
        <v>185</v>
      </c>
      <c r="K124" t="s">
        <v>583</v>
      </c>
      <c r="L124">
        <v>7745000</v>
      </c>
      <c r="M124">
        <v>236800</v>
      </c>
    </row>
    <row r="125" spans="1:16" x14ac:dyDescent="0.25">
      <c r="A125" s="1" t="s">
        <v>584</v>
      </c>
      <c r="B125" s="1" t="s">
        <v>1263</v>
      </c>
      <c r="C125" s="1"/>
      <c r="D125" s="1"/>
      <c r="E125" s="1" t="s">
        <v>585</v>
      </c>
      <c r="F125" s="1" t="s">
        <v>586</v>
      </c>
      <c r="G125" s="1" t="s">
        <v>1409</v>
      </c>
      <c r="H125" s="1" t="s">
        <v>587</v>
      </c>
      <c r="I125" s="1" t="s">
        <v>21</v>
      </c>
      <c r="J125" s="1" t="s">
        <v>22</v>
      </c>
      <c r="K125" t="s">
        <v>588</v>
      </c>
      <c r="L125">
        <v>1835200</v>
      </c>
      <c r="M125" s="3">
        <v>64589</v>
      </c>
      <c r="N125">
        <v>5700000000</v>
      </c>
      <c r="O125">
        <v>2500000000</v>
      </c>
      <c r="P125">
        <v>45535</v>
      </c>
    </row>
    <row r="126" spans="1:16" x14ac:dyDescent="0.25">
      <c r="A126" s="1" t="s">
        <v>589</v>
      </c>
      <c r="B126" s="1"/>
      <c r="C126" s="1"/>
      <c r="D126" s="1" t="s">
        <v>1265</v>
      </c>
      <c r="E126" s="1" t="s">
        <v>590</v>
      </c>
      <c r="F126" s="1" t="s">
        <v>591</v>
      </c>
      <c r="G126" s="1" t="s">
        <v>1410</v>
      </c>
      <c r="H126" s="1" t="s">
        <v>592</v>
      </c>
      <c r="I126" s="1" t="s">
        <v>15</v>
      </c>
      <c r="J126" s="1" t="s">
        <v>81</v>
      </c>
      <c r="K126" t="s">
        <v>593</v>
      </c>
      <c r="L126">
        <v>5895466</v>
      </c>
      <c r="M126" s="3">
        <v>10400</v>
      </c>
      <c r="N126">
        <v>3383333333</v>
      </c>
      <c r="O126">
        <v>3583333333</v>
      </c>
    </row>
    <row r="127" spans="1:16" x14ac:dyDescent="0.25">
      <c r="A127" s="1" t="s">
        <v>594</v>
      </c>
      <c r="B127" s="1" t="s">
        <v>1261</v>
      </c>
      <c r="C127" s="1"/>
      <c r="D127" s="1"/>
      <c r="E127" s="1" t="s">
        <v>595</v>
      </c>
      <c r="F127" s="1" t="s">
        <v>596</v>
      </c>
      <c r="G127" s="1" t="s">
        <v>613</v>
      </c>
      <c r="H127" s="1" t="s">
        <v>597</v>
      </c>
      <c r="I127" s="1" t="s">
        <v>33</v>
      </c>
      <c r="J127" s="1" t="s">
        <v>168</v>
      </c>
      <c r="K127" t="s">
        <v>1256</v>
      </c>
      <c r="L127">
        <v>2116427</v>
      </c>
      <c r="M127" s="3">
        <v>30355</v>
      </c>
      <c r="N127">
        <v>-2950000000</v>
      </c>
      <c r="O127">
        <v>2850000000</v>
      </c>
      <c r="P127">
        <v>2404</v>
      </c>
    </row>
    <row r="128" spans="1:16" x14ac:dyDescent="0.25">
      <c r="A128" s="1" t="s">
        <v>598</v>
      </c>
      <c r="B128" s="1" t="s">
        <v>1263</v>
      </c>
      <c r="C128" s="1"/>
      <c r="D128" s="1"/>
      <c r="E128" s="1" t="s">
        <v>599</v>
      </c>
      <c r="F128" s="1" t="s">
        <v>600</v>
      </c>
      <c r="G128" s="1" t="s">
        <v>609</v>
      </c>
      <c r="H128" s="1" t="s">
        <v>601</v>
      </c>
      <c r="I128" s="1" t="s">
        <v>33</v>
      </c>
      <c r="J128" s="1" t="s">
        <v>141</v>
      </c>
      <c r="K128" t="s">
        <v>602</v>
      </c>
      <c r="L128">
        <v>5248621</v>
      </c>
      <c r="M128" s="3">
        <v>111370</v>
      </c>
      <c r="N128">
        <v>650000000</v>
      </c>
      <c r="O128">
        <v>-950000000</v>
      </c>
      <c r="P128">
        <v>5166</v>
      </c>
    </row>
    <row r="129" spans="1:16" x14ac:dyDescent="0.25">
      <c r="A129" s="1" t="s">
        <v>603</v>
      </c>
      <c r="B129" s="1" t="s">
        <v>1271</v>
      </c>
      <c r="C129" s="1"/>
      <c r="D129" s="1"/>
      <c r="E129" s="1" t="s">
        <v>604</v>
      </c>
      <c r="F129" s="1" t="s">
        <v>605</v>
      </c>
      <c r="G129" s="1" t="s">
        <v>605</v>
      </c>
      <c r="H129" s="1" t="s">
        <v>1258</v>
      </c>
      <c r="I129" s="1" t="s">
        <v>33</v>
      </c>
      <c r="J129" s="1" t="s">
        <v>34</v>
      </c>
      <c r="K129" t="s">
        <v>606</v>
      </c>
      <c r="L129">
        <v>7459000</v>
      </c>
      <c r="M129" s="3">
        <v>1759540</v>
      </c>
      <c r="N129">
        <v>2500000000</v>
      </c>
      <c r="O129">
        <v>1700000000</v>
      </c>
      <c r="P129">
        <v>47484</v>
      </c>
    </row>
    <row r="130" spans="1:16" x14ac:dyDescent="0.25">
      <c r="A130" s="1" t="s">
        <v>607</v>
      </c>
      <c r="B130" s="1" t="s">
        <v>1267</v>
      </c>
      <c r="C130" s="1"/>
      <c r="D130" s="1"/>
      <c r="E130" s="1" t="s">
        <v>608</v>
      </c>
      <c r="F130" s="1" t="s">
        <v>609</v>
      </c>
      <c r="G130" s="1" t="s">
        <v>596</v>
      </c>
      <c r="H130" s="1" t="s">
        <v>610</v>
      </c>
      <c r="I130" s="1" t="s">
        <v>21</v>
      </c>
      <c r="J130" s="1" t="s">
        <v>98</v>
      </c>
      <c r="K130" t="s">
        <v>1257</v>
      </c>
      <c r="L130">
        <v>41237</v>
      </c>
      <c r="M130" s="3">
        <v>160</v>
      </c>
      <c r="N130">
        <v>4726666666</v>
      </c>
      <c r="O130">
        <v>953333333</v>
      </c>
    </row>
    <row r="131" spans="1:16" x14ac:dyDescent="0.25">
      <c r="A131" s="1" t="s">
        <v>611</v>
      </c>
      <c r="B131" s="1" t="s">
        <v>1263</v>
      </c>
      <c r="C131" s="1"/>
      <c r="D131" s="1"/>
      <c r="E131" s="1" t="s">
        <v>612</v>
      </c>
      <c r="F131" s="1" t="s">
        <v>613</v>
      </c>
      <c r="G131" s="1" t="s">
        <v>1411</v>
      </c>
      <c r="H131" s="1" t="s">
        <v>614</v>
      </c>
      <c r="I131" s="1" t="s">
        <v>21</v>
      </c>
      <c r="J131" s="1" t="s">
        <v>22</v>
      </c>
      <c r="K131" t="s">
        <v>615</v>
      </c>
      <c r="L131">
        <v>2886179</v>
      </c>
      <c r="M131" s="3">
        <v>65200</v>
      </c>
      <c r="N131">
        <v>5600000000</v>
      </c>
      <c r="O131">
        <v>2400000000</v>
      </c>
      <c r="P131">
        <v>89192</v>
      </c>
    </row>
    <row r="132" spans="1:16" x14ac:dyDescent="0.25">
      <c r="A132" s="1" t="s">
        <v>616</v>
      </c>
      <c r="B132" s="1" t="s">
        <v>1273</v>
      </c>
      <c r="C132" s="1"/>
      <c r="D132" s="1"/>
      <c r="E132" s="1" t="s">
        <v>617</v>
      </c>
      <c r="F132" s="1" t="s">
        <v>618</v>
      </c>
      <c r="G132" s="1" t="s">
        <v>618</v>
      </c>
      <c r="H132" s="1" t="s">
        <v>616</v>
      </c>
      <c r="I132" s="1" t="s">
        <v>21</v>
      </c>
      <c r="J132" s="1" t="s">
        <v>98</v>
      </c>
      <c r="K132" t="s">
        <v>1255</v>
      </c>
      <c r="L132">
        <v>690959</v>
      </c>
      <c r="M132">
        <v>2586</v>
      </c>
    </row>
    <row r="133" spans="1:16" x14ac:dyDescent="0.25">
      <c r="A133" s="1" t="s">
        <v>1199</v>
      </c>
      <c r="B133" s="1"/>
      <c r="C133" s="1"/>
      <c r="D133" s="1" t="s">
        <v>621</v>
      </c>
      <c r="E133" s="1" t="s">
        <v>619</v>
      </c>
      <c r="F133" s="1" t="s">
        <v>620</v>
      </c>
      <c r="G133" s="1" t="s">
        <v>692</v>
      </c>
      <c r="H133" s="1" t="s">
        <v>1199</v>
      </c>
      <c r="I133" s="1" t="s">
        <v>15</v>
      </c>
      <c r="J133" s="1" t="s">
        <v>243</v>
      </c>
      <c r="K133" t="s">
        <v>1254</v>
      </c>
      <c r="L133">
        <v>688100</v>
      </c>
      <c r="M133">
        <v>119</v>
      </c>
    </row>
    <row r="134" spans="1:16" x14ac:dyDescent="0.25">
      <c r="A134" s="1" t="s">
        <v>622</v>
      </c>
      <c r="B134" s="1" t="s">
        <v>1263</v>
      </c>
      <c r="C134" s="1"/>
      <c r="D134" s="1"/>
      <c r="E134" s="1" t="s">
        <v>623</v>
      </c>
      <c r="F134" s="1" t="s">
        <v>624</v>
      </c>
      <c r="G134" s="1" t="s">
        <v>709</v>
      </c>
      <c r="H134" s="1" t="s">
        <v>625</v>
      </c>
      <c r="I134" s="1" t="s">
        <v>33</v>
      </c>
      <c r="J134" s="1" t="s">
        <v>180</v>
      </c>
      <c r="K134" t="s">
        <v>626</v>
      </c>
      <c r="L134">
        <v>31727042</v>
      </c>
      <c r="M134" s="3">
        <v>587040</v>
      </c>
      <c r="N134">
        <v>-2000000000</v>
      </c>
      <c r="O134">
        <v>4700000000</v>
      </c>
      <c r="P134">
        <v>18708</v>
      </c>
    </row>
    <row r="135" spans="1:16" x14ac:dyDescent="0.25">
      <c r="A135" s="1" t="s">
        <v>627</v>
      </c>
      <c r="B135" s="1" t="s">
        <v>1263</v>
      </c>
      <c r="C135" s="1"/>
      <c r="D135" s="1"/>
      <c r="E135" s="1" t="s">
        <v>628</v>
      </c>
      <c r="F135" s="1" t="s">
        <v>629</v>
      </c>
      <c r="G135" s="1" t="s">
        <v>1412</v>
      </c>
      <c r="H135" s="1" t="s">
        <v>630</v>
      </c>
      <c r="I135" s="1" t="s">
        <v>33</v>
      </c>
      <c r="J135" s="1" t="s">
        <v>180</v>
      </c>
      <c r="K135" t="s">
        <v>631</v>
      </c>
      <c r="L135">
        <v>20734262</v>
      </c>
      <c r="M135" s="3">
        <v>118480</v>
      </c>
      <c r="N135">
        <v>-1350000000</v>
      </c>
      <c r="O135">
        <v>3400000000</v>
      </c>
      <c r="P135">
        <v>13959</v>
      </c>
    </row>
    <row r="136" spans="1:16" x14ac:dyDescent="0.25">
      <c r="A136" s="1" t="s">
        <v>632</v>
      </c>
      <c r="B136" s="1"/>
      <c r="C136" s="1"/>
      <c r="D136" s="1"/>
      <c r="E136" s="1" t="s">
        <v>633</v>
      </c>
      <c r="F136" s="1" t="s">
        <v>634</v>
      </c>
      <c r="G136" s="1" t="s">
        <v>634</v>
      </c>
      <c r="H136" s="1" t="s">
        <v>635</v>
      </c>
      <c r="I136" s="1" t="s">
        <v>15</v>
      </c>
      <c r="J136" s="1" t="s">
        <v>185</v>
      </c>
      <c r="K136" t="s">
        <v>636</v>
      </c>
      <c r="L136">
        <v>34374300</v>
      </c>
      <c r="M136" s="3">
        <v>329750</v>
      </c>
      <c r="N136">
        <v>250000000</v>
      </c>
      <c r="O136">
        <v>11250000000</v>
      </c>
      <c r="P136">
        <v>444984</v>
      </c>
    </row>
    <row r="137" spans="1:16" x14ac:dyDescent="0.25">
      <c r="A137" s="1" t="s">
        <v>637</v>
      </c>
      <c r="B137" s="1" t="s">
        <v>1263</v>
      </c>
      <c r="C137" s="1"/>
      <c r="D137" s="1" t="s">
        <v>1270</v>
      </c>
      <c r="E137" s="1" t="s">
        <v>638</v>
      </c>
      <c r="F137" s="1" t="s">
        <v>639</v>
      </c>
      <c r="G137" s="1" t="s">
        <v>639</v>
      </c>
      <c r="H137" s="1" t="s">
        <v>1251</v>
      </c>
      <c r="I137" s="1" t="s">
        <v>15</v>
      </c>
      <c r="J137" s="1" t="s">
        <v>16</v>
      </c>
      <c r="K137" t="s">
        <v>640</v>
      </c>
      <c r="L137">
        <v>515132</v>
      </c>
      <c r="M137" s="3">
        <v>300</v>
      </c>
      <c r="N137">
        <v>325000000</v>
      </c>
      <c r="O137">
        <v>7300000000</v>
      </c>
      <c r="P137">
        <v>7480</v>
      </c>
    </row>
    <row r="138" spans="1:16" x14ac:dyDescent="0.25">
      <c r="A138" s="1" t="s">
        <v>641</v>
      </c>
      <c r="B138" s="1" t="s">
        <v>1263</v>
      </c>
      <c r="C138" s="1"/>
      <c r="D138" s="1"/>
      <c r="E138" s="1" t="s">
        <v>642</v>
      </c>
      <c r="F138" s="1" t="s">
        <v>643</v>
      </c>
      <c r="G138" s="1" t="s">
        <v>643</v>
      </c>
      <c r="H138" s="1" t="s">
        <v>644</v>
      </c>
      <c r="I138" s="1" t="s">
        <v>33</v>
      </c>
      <c r="J138" s="1" t="s">
        <v>141</v>
      </c>
      <c r="K138" t="s">
        <v>645</v>
      </c>
      <c r="L138">
        <v>22395489</v>
      </c>
      <c r="M138">
        <v>1240192</v>
      </c>
    </row>
    <row r="139" spans="1:16" x14ac:dyDescent="0.25">
      <c r="A139" s="1" t="s">
        <v>646</v>
      </c>
      <c r="B139" s="1" t="s">
        <v>1263</v>
      </c>
      <c r="C139" s="1"/>
      <c r="D139" s="1"/>
      <c r="E139" s="1" t="s">
        <v>647</v>
      </c>
      <c r="F139" s="1" t="s">
        <v>648</v>
      </c>
      <c r="G139" s="1" t="s">
        <v>648</v>
      </c>
      <c r="H139" s="1" t="s">
        <v>649</v>
      </c>
      <c r="I139" s="1" t="s">
        <v>21</v>
      </c>
      <c r="J139" s="1" t="s">
        <v>27</v>
      </c>
      <c r="K139" t="s">
        <v>650</v>
      </c>
      <c r="L139">
        <v>574250</v>
      </c>
      <c r="M139" s="3">
        <v>316</v>
      </c>
      <c r="N139">
        <v>3583333333</v>
      </c>
      <c r="O139">
        <v>1458333333</v>
      </c>
      <c r="P139">
        <v>25750</v>
      </c>
    </row>
    <row r="140" spans="1:16" x14ac:dyDescent="0.25">
      <c r="A140" s="1" t="s">
        <v>654</v>
      </c>
      <c r="B140" s="1" t="s">
        <v>1264</v>
      </c>
      <c r="C140" s="1"/>
      <c r="D140" s="1"/>
      <c r="E140" s="1" t="s">
        <v>655</v>
      </c>
      <c r="F140" s="1" t="s">
        <v>656</v>
      </c>
      <c r="G140" s="1" t="s">
        <v>1416</v>
      </c>
      <c r="H140" s="1" t="s">
        <v>657</v>
      </c>
      <c r="I140" s="1" t="s">
        <v>40</v>
      </c>
      <c r="J140" s="1" t="s">
        <v>440</v>
      </c>
      <c r="K140" t="s">
        <v>658</v>
      </c>
      <c r="L140">
        <v>42418</v>
      </c>
      <c r="M140" s="3">
        <v>181</v>
      </c>
      <c r="N140">
        <v>900000000</v>
      </c>
      <c r="O140">
        <v>16800000000</v>
      </c>
      <c r="P140">
        <v>297</v>
      </c>
    </row>
    <row r="141" spans="1:16" x14ac:dyDescent="0.25">
      <c r="A141" s="1" t="s">
        <v>659</v>
      </c>
      <c r="B141" s="1"/>
      <c r="C141" s="1"/>
      <c r="D141" s="1"/>
      <c r="E141" s="1" t="s">
        <v>660</v>
      </c>
      <c r="F141" s="1" t="s">
        <v>661</v>
      </c>
      <c r="G141" s="1" t="s">
        <v>1413</v>
      </c>
      <c r="H141" s="1" t="s">
        <v>662</v>
      </c>
      <c r="I141" s="1" t="s">
        <v>58</v>
      </c>
      <c r="J141" s="1" t="s">
        <v>59</v>
      </c>
      <c r="K141" t="s">
        <v>1245</v>
      </c>
      <c r="L141">
        <v>349925</v>
      </c>
      <c r="M141">
        <v>1128</v>
      </c>
    </row>
    <row r="142" spans="1:16" x14ac:dyDescent="0.25">
      <c r="A142" s="1" t="s">
        <v>663</v>
      </c>
      <c r="B142" s="1" t="s">
        <v>1275</v>
      </c>
      <c r="C142" s="1"/>
      <c r="D142" s="1"/>
      <c r="E142" s="1" t="s">
        <v>664</v>
      </c>
      <c r="F142" s="1" t="s">
        <v>665</v>
      </c>
      <c r="G142" s="1" t="s">
        <v>665</v>
      </c>
      <c r="H142" s="1" t="s">
        <v>666</v>
      </c>
      <c r="I142" s="1" t="s">
        <v>33</v>
      </c>
      <c r="J142" s="1" t="s">
        <v>141</v>
      </c>
      <c r="K142" t="s">
        <v>667</v>
      </c>
      <c r="L142">
        <v>4927532</v>
      </c>
      <c r="M142" s="3">
        <v>1030700</v>
      </c>
      <c r="N142">
        <v>2000000000</v>
      </c>
      <c r="O142">
        <v>-1200000000</v>
      </c>
      <c r="P142">
        <v>11470</v>
      </c>
    </row>
    <row r="143" spans="1:16" x14ac:dyDescent="0.25">
      <c r="A143" s="1" t="s">
        <v>668</v>
      </c>
      <c r="B143" s="1" t="s">
        <v>1263</v>
      </c>
      <c r="C143" s="1"/>
      <c r="D143" s="1"/>
      <c r="E143" s="1" t="s">
        <v>669</v>
      </c>
      <c r="F143" s="1" t="s">
        <v>670</v>
      </c>
      <c r="G143" s="1" t="s">
        <v>784</v>
      </c>
      <c r="H143" s="1" t="s">
        <v>671</v>
      </c>
      <c r="I143" s="1" t="s">
        <v>33</v>
      </c>
      <c r="J143" s="1" t="s">
        <v>180</v>
      </c>
      <c r="K143" t="s">
        <v>672</v>
      </c>
      <c r="L143">
        <v>1241856</v>
      </c>
      <c r="M143" s="3">
        <v>2040</v>
      </c>
      <c r="N143">
        <v>-2028333333</v>
      </c>
      <c r="O143">
        <v>5755000000</v>
      </c>
      <c r="P143">
        <v>15495</v>
      </c>
    </row>
    <row r="144" spans="1:16" x14ac:dyDescent="0.25">
      <c r="A144" s="1" t="s">
        <v>673</v>
      </c>
      <c r="B144" s="1" t="s">
        <v>1276</v>
      </c>
      <c r="C144" s="1"/>
      <c r="D144" s="1"/>
      <c r="E144" s="1" t="s">
        <v>674</v>
      </c>
      <c r="F144" s="1" t="s">
        <v>675</v>
      </c>
      <c r="G144" s="1" t="s">
        <v>902</v>
      </c>
      <c r="H144" s="1" t="s">
        <v>676</v>
      </c>
      <c r="I144" s="1" t="s">
        <v>33</v>
      </c>
      <c r="J144" s="1" t="s">
        <v>180</v>
      </c>
      <c r="K144" t="s">
        <v>677</v>
      </c>
      <c r="L144">
        <v>320901</v>
      </c>
      <c r="M144" s="3">
        <v>374</v>
      </c>
      <c r="N144">
        <v>-1283333333</v>
      </c>
      <c r="O144">
        <v>4516666666</v>
      </c>
    </row>
    <row r="145" spans="1:16" x14ac:dyDescent="0.25">
      <c r="A145" s="1" t="s">
        <v>678</v>
      </c>
      <c r="B145" s="1"/>
      <c r="C145" s="1"/>
      <c r="D145" s="1" t="s">
        <v>1269</v>
      </c>
      <c r="E145" s="1" t="s">
        <v>679</v>
      </c>
      <c r="F145" s="1" t="s">
        <v>680</v>
      </c>
      <c r="G145" s="1" t="s">
        <v>680</v>
      </c>
      <c r="H145" s="1" t="s">
        <v>1250</v>
      </c>
      <c r="I145" s="1" t="s">
        <v>58</v>
      </c>
      <c r="J145" s="1" t="s">
        <v>147</v>
      </c>
      <c r="K145" t="s">
        <v>681</v>
      </c>
      <c r="L145">
        <v>131150866</v>
      </c>
      <c r="M145" s="3">
        <v>1972550</v>
      </c>
      <c r="N145">
        <v>2300000000</v>
      </c>
      <c r="O145">
        <v>-10200000000</v>
      </c>
      <c r="P145">
        <v>1692640</v>
      </c>
    </row>
    <row r="146" spans="1:16" x14ac:dyDescent="0.25">
      <c r="A146" s="1" t="s">
        <v>440</v>
      </c>
      <c r="B146" s="1" t="s">
        <v>1327</v>
      </c>
      <c r="C146" s="1"/>
      <c r="D146" s="1"/>
      <c r="E146" s="1" t="s">
        <v>682</v>
      </c>
      <c r="F146" s="1" t="s">
        <v>683</v>
      </c>
      <c r="G146" s="1" t="s">
        <v>683</v>
      </c>
      <c r="H146" s="1" t="s">
        <v>684</v>
      </c>
      <c r="I146" s="1" t="s">
        <v>40</v>
      </c>
      <c r="J146" s="1" t="s">
        <v>440</v>
      </c>
      <c r="K146" t="s">
        <v>685</v>
      </c>
      <c r="L146">
        <v>75817</v>
      </c>
      <c r="M146" s="3">
        <v>702</v>
      </c>
      <c r="N146">
        <v>691666666</v>
      </c>
      <c r="O146">
        <v>15825000000</v>
      </c>
      <c r="P146">
        <v>500</v>
      </c>
    </row>
    <row r="147" spans="1:16" x14ac:dyDescent="0.25">
      <c r="A147" s="1" t="s">
        <v>686</v>
      </c>
      <c r="B147" s="1" t="s">
        <v>1263</v>
      </c>
      <c r="C147" s="1"/>
      <c r="D147" s="1"/>
      <c r="E147" s="1" t="s">
        <v>687</v>
      </c>
      <c r="F147" s="1" t="s">
        <v>688</v>
      </c>
      <c r="G147" s="1" t="s">
        <v>688</v>
      </c>
      <c r="H147" s="1" t="s">
        <v>1252</v>
      </c>
      <c r="I147" s="1" t="s">
        <v>21</v>
      </c>
      <c r="J147" s="1" t="s">
        <v>124</v>
      </c>
      <c r="K147" t="s">
        <v>689</v>
      </c>
      <c r="L147">
        <v>2365600</v>
      </c>
      <c r="M147" s="3">
        <v>33843</v>
      </c>
      <c r="N147">
        <v>4700000000</v>
      </c>
      <c r="O147">
        <v>2900000000</v>
      </c>
      <c r="P147">
        <v>19462</v>
      </c>
    </row>
    <row r="148" spans="1:16" x14ac:dyDescent="0.25">
      <c r="A148" s="1" t="s">
        <v>690</v>
      </c>
      <c r="B148" s="1" t="s">
        <v>1267</v>
      </c>
      <c r="C148" s="1"/>
      <c r="D148" s="1"/>
      <c r="E148" s="1" t="s">
        <v>691</v>
      </c>
      <c r="F148" s="1" t="s">
        <v>692</v>
      </c>
      <c r="G148" s="1" t="s">
        <v>695</v>
      </c>
      <c r="H148" s="1" t="s">
        <v>690</v>
      </c>
      <c r="I148" s="1" t="s">
        <v>21</v>
      </c>
      <c r="J148" s="1" t="s">
        <v>98</v>
      </c>
      <c r="K148" s="2" t="s">
        <v>1253</v>
      </c>
      <c r="L148">
        <v>38857</v>
      </c>
      <c r="M148">
        <v>2084</v>
      </c>
    </row>
    <row r="149" spans="1:16" x14ac:dyDescent="0.25">
      <c r="A149" s="1" t="s">
        <v>693</v>
      </c>
      <c r="B149" s="1"/>
      <c r="C149" s="1"/>
      <c r="D149" s="1"/>
      <c r="E149" s="1" t="s">
        <v>694</v>
      </c>
      <c r="F149" s="1" t="s">
        <v>695</v>
      </c>
      <c r="G149" s="1" t="s">
        <v>624</v>
      </c>
      <c r="H149" s="1" t="s">
        <v>1247</v>
      </c>
      <c r="I149" s="1" t="s">
        <v>15</v>
      </c>
      <c r="J149" s="1" t="s">
        <v>243</v>
      </c>
      <c r="K149" t="s">
        <v>696</v>
      </c>
      <c r="L149">
        <v>3591120</v>
      </c>
      <c r="M149" s="3">
        <v>1565000</v>
      </c>
      <c r="N149">
        <v>4600000000</v>
      </c>
      <c r="O149">
        <v>10500000000</v>
      </c>
      <c r="P149">
        <v>25804</v>
      </c>
    </row>
    <row r="150" spans="1:16" x14ac:dyDescent="0.25">
      <c r="A150" s="1" t="s">
        <v>697</v>
      </c>
      <c r="B150" s="1"/>
      <c r="C150" s="1"/>
      <c r="D150" s="1"/>
      <c r="E150" s="1" t="s">
        <v>698</v>
      </c>
      <c r="F150" s="1" t="s">
        <v>699</v>
      </c>
      <c r="G150" s="1" t="s">
        <v>1414</v>
      </c>
      <c r="H150" s="1" t="s">
        <v>700</v>
      </c>
      <c r="I150" s="1" t="s">
        <v>21</v>
      </c>
      <c r="J150" s="1" t="s">
        <v>27</v>
      </c>
      <c r="K150" t="s">
        <v>701</v>
      </c>
      <c r="L150">
        <v>622902</v>
      </c>
      <c r="M150" s="3">
        <v>14026</v>
      </c>
      <c r="N150">
        <v>4250000000</v>
      </c>
      <c r="O150">
        <v>1930000000</v>
      </c>
      <c r="P150">
        <v>8562</v>
      </c>
    </row>
    <row r="151" spans="1:16" x14ac:dyDescent="0.25">
      <c r="A151" s="1" t="s">
        <v>702</v>
      </c>
      <c r="B151" s="1"/>
      <c r="C151" s="1"/>
      <c r="D151" s="1"/>
      <c r="E151" s="1" t="s">
        <v>703</v>
      </c>
      <c r="F151" s="1" t="s">
        <v>704</v>
      </c>
      <c r="G151" s="1" t="s">
        <v>656</v>
      </c>
      <c r="H151" s="1" t="s">
        <v>705</v>
      </c>
      <c r="I151" s="1" t="s">
        <v>58</v>
      </c>
      <c r="J151" s="1" t="s">
        <v>59</v>
      </c>
      <c r="K151" t="s">
        <v>706</v>
      </c>
      <c r="L151">
        <v>4386</v>
      </c>
      <c r="M151" s="3">
        <v>102</v>
      </c>
      <c r="N151">
        <v>1675000000</v>
      </c>
      <c r="O151">
        <v>-6220000000</v>
      </c>
    </row>
    <row r="152" spans="1:16" x14ac:dyDescent="0.25">
      <c r="A152" s="1" t="s">
        <v>707</v>
      </c>
      <c r="B152" s="1" t="s">
        <v>1261</v>
      </c>
      <c r="C152" s="1"/>
      <c r="D152" s="1"/>
      <c r="E152" s="1" t="s">
        <v>708</v>
      </c>
      <c r="F152" s="1" t="s">
        <v>709</v>
      </c>
      <c r="G152" s="1" t="s">
        <v>620</v>
      </c>
      <c r="H152" s="1" t="s">
        <v>710</v>
      </c>
      <c r="I152" s="1" t="s">
        <v>33</v>
      </c>
      <c r="J152" s="1" t="s">
        <v>34</v>
      </c>
      <c r="K152" t="s">
        <v>711</v>
      </c>
      <c r="L152">
        <v>36828330</v>
      </c>
      <c r="M152" s="3">
        <v>446550</v>
      </c>
      <c r="N152">
        <v>3200000000</v>
      </c>
      <c r="O152">
        <v>-500000000</v>
      </c>
      <c r="P152">
        <v>165835</v>
      </c>
    </row>
    <row r="153" spans="1:16" x14ac:dyDescent="0.25">
      <c r="A153" s="1" t="s">
        <v>712</v>
      </c>
      <c r="B153" s="1" t="s">
        <v>1263</v>
      </c>
      <c r="C153" s="1"/>
      <c r="D153" s="1"/>
      <c r="E153" s="1" t="s">
        <v>713</v>
      </c>
      <c r="F153" s="1" t="s">
        <v>714</v>
      </c>
      <c r="G153" s="1" t="s">
        <v>714</v>
      </c>
      <c r="H153" s="1" t="s">
        <v>715</v>
      </c>
      <c r="I153" s="1" t="s">
        <v>33</v>
      </c>
      <c r="J153" s="1" t="s">
        <v>180</v>
      </c>
      <c r="K153" t="s">
        <v>716</v>
      </c>
      <c r="L153">
        <v>34090466</v>
      </c>
      <c r="M153" s="3">
        <v>801590</v>
      </c>
      <c r="N153">
        <v>-1825000000</v>
      </c>
      <c r="O153">
        <v>3500000000</v>
      </c>
      <c r="P153">
        <v>23771</v>
      </c>
    </row>
    <row r="154" spans="1:16" x14ac:dyDescent="0.25">
      <c r="A154" s="1" t="s">
        <v>717</v>
      </c>
      <c r="B154" s="1" t="s">
        <v>1268</v>
      </c>
      <c r="C154" s="1"/>
      <c r="D154" s="1" t="s">
        <v>1248</v>
      </c>
      <c r="E154" s="1" t="s">
        <v>718</v>
      </c>
      <c r="F154" s="1" t="s">
        <v>719</v>
      </c>
      <c r="G154" s="1" t="s">
        <v>145</v>
      </c>
      <c r="H154" s="1" t="s">
        <v>1249</v>
      </c>
      <c r="I154" s="1" t="s">
        <v>15</v>
      </c>
      <c r="J154" s="1" t="s">
        <v>185</v>
      </c>
      <c r="K154" t="s">
        <v>720</v>
      </c>
      <c r="L154">
        <v>51375327</v>
      </c>
      <c r="M154" s="3">
        <v>678500</v>
      </c>
      <c r="N154">
        <v>2200000000</v>
      </c>
      <c r="O154">
        <v>9800000000</v>
      </c>
      <c r="P154">
        <v>64944</v>
      </c>
    </row>
    <row r="155" spans="1:16" x14ac:dyDescent="0.25">
      <c r="A155" s="1" t="s">
        <v>721</v>
      </c>
      <c r="B155" s="1" t="s">
        <v>1263</v>
      </c>
      <c r="C155" s="1"/>
      <c r="D155" s="1"/>
      <c r="E155" s="1" t="s">
        <v>722</v>
      </c>
      <c r="F155" s="1" t="s">
        <v>723</v>
      </c>
      <c r="G155" s="1" t="s">
        <v>1415</v>
      </c>
      <c r="H155" s="1" t="s">
        <v>724</v>
      </c>
      <c r="I155" s="1" t="s">
        <v>33</v>
      </c>
      <c r="J155" s="1" t="s">
        <v>168</v>
      </c>
      <c r="K155" t="s">
        <v>725</v>
      </c>
      <c r="L155">
        <v>3022401</v>
      </c>
      <c r="M155" s="3">
        <v>825418</v>
      </c>
      <c r="N155">
        <v>-2200000000</v>
      </c>
      <c r="O155">
        <v>1700000000</v>
      </c>
      <c r="P155">
        <v>14214</v>
      </c>
    </row>
    <row r="156" spans="1:16" x14ac:dyDescent="0.25">
      <c r="A156" s="1" t="s">
        <v>726</v>
      </c>
      <c r="B156" s="1" t="s">
        <v>1263</v>
      </c>
      <c r="C156" s="1"/>
      <c r="D156" s="1"/>
      <c r="E156" s="1" t="s">
        <v>727</v>
      </c>
      <c r="F156" s="1" t="s">
        <v>728</v>
      </c>
      <c r="G156" s="1" t="s">
        <v>728</v>
      </c>
      <c r="H156" s="1" t="s">
        <v>729</v>
      </c>
      <c r="I156" s="1" t="s">
        <v>40</v>
      </c>
      <c r="J156" s="1" t="s">
        <v>440</v>
      </c>
      <c r="K156" t="s">
        <v>730</v>
      </c>
      <c r="L156">
        <v>11680</v>
      </c>
      <c r="M156" s="3">
        <v>21</v>
      </c>
      <c r="N156">
        <v>-53333333</v>
      </c>
      <c r="O156">
        <v>16691666666</v>
      </c>
      <c r="P156">
        <v>169</v>
      </c>
    </row>
    <row r="157" spans="1:16" x14ac:dyDescent="0.25">
      <c r="A157" s="1" t="s">
        <v>731</v>
      </c>
      <c r="B157" s="1" t="s">
        <v>1280</v>
      </c>
      <c r="C157" s="1"/>
      <c r="D157" s="1"/>
      <c r="E157" s="1" t="s">
        <v>732</v>
      </c>
      <c r="F157" s="1" t="s">
        <v>733</v>
      </c>
      <c r="G157" s="1" t="s">
        <v>733</v>
      </c>
      <c r="H157" s="1" t="s">
        <v>734</v>
      </c>
      <c r="I157" s="1" t="s">
        <v>15</v>
      </c>
      <c r="J157" s="1" t="s">
        <v>16</v>
      </c>
      <c r="K157" t="s">
        <v>735</v>
      </c>
      <c r="L157">
        <v>29911840</v>
      </c>
      <c r="M157">
        <v>147181</v>
      </c>
    </row>
    <row r="158" spans="1:16" x14ac:dyDescent="0.25">
      <c r="A158" s="1" t="s">
        <v>736</v>
      </c>
      <c r="B158" s="1" t="s">
        <v>1279</v>
      </c>
      <c r="C158" s="1"/>
      <c r="D158" s="1"/>
      <c r="E158" s="1" t="s">
        <v>737</v>
      </c>
      <c r="F158" s="1" t="s">
        <v>738</v>
      </c>
      <c r="G158" s="1" t="s">
        <v>738</v>
      </c>
      <c r="H158" s="1" t="s">
        <v>739</v>
      </c>
      <c r="I158" s="1" t="s">
        <v>21</v>
      </c>
      <c r="J158" s="1" t="s">
        <v>98</v>
      </c>
      <c r="K158" t="s">
        <v>740</v>
      </c>
      <c r="L158">
        <v>18151406</v>
      </c>
      <c r="M158">
        <v>41865</v>
      </c>
    </row>
    <row r="159" spans="1:16" x14ac:dyDescent="0.25">
      <c r="A159" s="1" t="s">
        <v>741</v>
      </c>
      <c r="B159" s="1"/>
      <c r="C159" s="1"/>
      <c r="D159" s="1"/>
      <c r="E159" s="1" t="s">
        <v>742</v>
      </c>
      <c r="F159" s="1" t="s">
        <v>743</v>
      </c>
      <c r="G159" s="1" t="s">
        <v>743</v>
      </c>
      <c r="H159" s="1" t="s">
        <v>1244</v>
      </c>
      <c r="I159" s="1" t="s">
        <v>40</v>
      </c>
      <c r="J159" s="1" t="s">
        <v>371</v>
      </c>
      <c r="K159" t="s">
        <v>744</v>
      </c>
      <c r="L159">
        <v>264596</v>
      </c>
      <c r="M159" s="3">
        <v>19060</v>
      </c>
      <c r="N159">
        <v>-2150000000</v>
      </c>
      <c r="O159">
        <v>16550000000</v>
      </c>
    </row>
    <row r="160" spans="1:16" x14ac:dyDescent="0.25">
      <c r="A160" s="1" t="s">
        <v>745</v>
      </c>
      <c r="B160" s="1"/>
      <c r="C160" s="1"/>
      <c r="D160" s="1"/>
      <c r="E160" s="1" t="s">
        <v>746</v>
      </c>
      <c r="F160" s="1" t="s">
        <v>747</v>
      </c>
      <c r="G160" s="1" t="s">
        <v>747</v>
      </c>
      <c r="H160" s="1" t="s">
        <v>748</v>
      </c>
      <c r="I160" s="1" t="s">
        <v>40</v>
      </c>
      <c r="J160" s="1" t="s">
        <v>92</v>
      </c>
      <c r="K160" t="s">
        <v>1243</v>
      </c>
      <c r="L160">
        <v>5361300</v>
      </c>
      <c r="M160">
        <v>263310</v>
      </c>
    </row>
    <row r="161" spans="1:16" x14ac:dyDescent="0.25">
      <c r="A161" s="1" t="s">
        <v>749</v>
      </c>
      <c r="B161" s="1" t="s">
        <v>1263</v>
      </c>
      <c r="C161" s="1"/>
      <c r="D161" s="1"/>
      <c r="E161" s="1" t="s">
        <v>750</v>
      </c>
      <c r="F161" s="1" t="s">
        <v>751</v>
      </c>
      <c r="G161" s="1" t="s">
        <v>766</v>
      </c>
      <c r="H161" s="1" t="s">
        <v>752</v>
      </c>
      <c r="I161" s="1" t="s">
        <v>58</v>
      </c>
      <c r="J161" s="1" t="s">
        <v>135</v>
      </c>
      <c r="K161" t="s">
        <v>753</v>
      </c>
      <c r="L161">
        <v>6874748</v>
      </c>
      <c r="M161" s="3">
        <v>129494</v>
      </c>
      <c r="N161">
        <v>1300000000</v>
      </c>
      <c r="O161">
        <v>-8500000000</v>
      </c>
      <c r="P161">
        <v>21155</v>
      </c>
    </row>
    <row r="162" spans="1:16" x14ac:dyDescent="0.25">
      <c r="A162" s="1" t="s">
        <v>754</v>
      </c>
      <c r="B162" s="1" t="s">
        <v>1264</v>
      </c>
      <c r="C162" s="1"/>
      <c r="D162" s="1"/>
      <c r="E162" s="1" t="s">
        <v>755</v>
      </c>
      <c r="F162" s="1" t="s">
        <v>756</v>
      </c>
      <c r="G162" s="1" t="s">
        <v>761</v>
      </c>
      <c r="H162" s="1" t="s">
        <v>757</v>
      </c>
      <c r="I162" s="1" t="s">
        <v>33</v>
      </c>
      <c r="J162" s="1" t="s">
        <v>141</v>
      </c>
      <c r="K162" t="s">
        <v>758</v>
      </c>
      <c r="L162">
        <v>27522750</v>
      </c>
      <c r="M162" s="3">
        <v>1267000</v>
      </c>
      <c r="N162">
        <v>1600000000</v>
      </c>
      <c r="O162">
        <v>800000000</v>
      </c>
      <c r="P162">
        <v>21874</v>
      </c>
    </row>
    <row r="163" spans="1:16" x14ac:dyDescent="0.25">
      <c r="A163" s="1" t="s">
        <v>759</v>
      </c>
      <c r="B163" s="1" t="s">
        <v>1278</v>
      </c>
      <c r="C163" s="1"/>
      <c r="D163" s="1"/>
      <c r="E163" s="1" t="s">
        <v>760</v>
      </c>
      <c r="F163" s="1" t="s">
        <v>761</v>
      </c>
      <c r="G163" s="1" t="s">
        <v>751</v>
      </c>
      <c r="H163" s="1" t="s">
        <v>762</v>
      </c>
      <c r="I163" s="1" t="s">
        <v>33</v>
      </c>
      <c r="J163" s="1" t="s">
        <v>141</v>
      </c>
      <c r="K163" t="s">
        <v>763</v>
      </c>
      <c r="L163">
        <v>223800000</v>
      </c>
      <c r="M163" s="3">
        <v>923768</v>
      </c>
      <c r="N163">
        <v>1000000000</v>
      </c>
      <c r="O163">
        <v>800000000</v>
      </c>
      <c r="P163">
        <v>188271</v>
      </c>
    </row>
    <row r="164" spans="1:16" x14ac:dyDescent="0.25">
      <c r="A164" s="1" t="s">
        <v>764</v>
      </c>
      <c r="B164" s="1"/>
      <c r="C164" s="1"/>
      <c r="D164" s="1"/>
      <c r="E164" s="1" t="s">
        <v>765</v>
      </c>
      <c r="F164" s="1" t="s">
        <v>766</v>
      </c>
      <c r="G164" s="1" t="s">
        <v>756</v>
      </c>
      <c r="H164" s="1" t="s">
        <v>767</v>
      </c>
      <c r="I164" s="1" t="s">
        <v>40</v>
      </c>
      <c r="J164" s="1" t="s">
        <v>41</v>
      </c>
      <c r="K164" t="s">
        <v>768</v>
      </c>
      <c r="L164">
        <v>1681</v>
      </c>
      <c r="M164" s="3">
        <v>260</v>
      </c>
      <c r="N164">
        <v>-1903333333</v>
      </c>
      <c r="O164">
        <v>-16986666666</v>
      </c>
    </row>
    <row r="165" spans="1:16" x14ac:dyDescent="0.25">
      <c r="A165" s="1" t="s">
        <v>769</v>
      </c>
      <c r="B165" s="1" t="s">
        <v>1277</v>
      </c>
      <c r="C165" s="1"/>
      <c r="D165" s="1"/>
      <c r="E165" s="1" t="s">
        <v>770</v>
      </c>
      <c r="F165" s="1" t="s">
        <v>771</v>
      </c>
      <c r="G165" s="1" t="s">
        <v>771</v>
      </c>
      <c r="H165" s="1" t="s">
        <v>532</v>
      </c>
      <c r="I165" s="1" t="s">
        <v>40</v>
      </c>
      <c r="J165" s="1" t="s">
        <v>92</v>
      </c>
      <c r="K165" t="s">
        <v>769</v>
      </c>
      <c r="L165">
        <v>2188</v>
      </c>
      <c r="M165" s="3">
        <v>34</v>
      </c>
      <c r="N165">
        <v>-2903333333</v>
      </c>
      <c r="O165">
        <v>16795000000</v>
      </c>
    </row>
    <row r="166" spans="1:16" x14ac:dyDescent="0.25">
      <c r="A166" s="1" t="s">
        <v>772</v>
      </c>
      <c r="B166" s="1"/>
      <c r="C166" s="1"/>
      <c r="D166" s="1" t="s">
        <v>1206</v>
      </c>
      <c r="E166" s="1" t="s">
        <v>773</v>
      </c>
      <c r="F166" s="1" t="s">
        <v>774</v>
      </c>
      <c r="G166" s="1" t="s">
        <v>881</v>
      </c>
      <c r="H166" s="1" t="s">
        <v>775</v>
      </c>
      <c r="I166" s="1" t="s">
        <v>15</v>
      </c>
      <c r="J166" s="1" t="s">
        <v>243</v>
      </c>
      <c r="K166" t="s">
        <v>776</v>
      </c>
      <c r="L166">
        <v>25950000</v>
      </c>
      <c r="M166" s="3">
        <v>120540</v>
      </c>
      <c r="N166">
        <v>4000000000</v>
      </c>
      <c r="O166">
        <v>12700000000</v>
      </c>
    </row>
    <row r="167" spans="1:16" x14ac:dyDescent="0.25">
      <c r="A167" s="1" t="s">
        <v>777</v>
      </c>
      <c r="B167" s="1" t="s">
        <v>1263</v>
      </c>
      <c r="C167" s="1"/>
      <c r="D167" s="1"/>
      <c r="E167" s="1" t="s">
        <v>778</v>
      </c>
      <c r="F167" s="1" t="s">
        <v>779</v>
      </c>
      <c r="G167" s="1" t="s">
        <v>779</v>
      </c>
      <c r="H167" s="1" t="s">
        <v>780</v>
      </c>
      <c r="I167" s="1" t="s">
        <v>21</v>
      </c>
      <c r="J167" s="1" t="s">
        <v>27</v>
      </c>
      <c r="K167" t="s">
        <v>781</v>
      </c>
      <c r="L167">
        <v>1819074</v>
      </c>
      <c r="M167" s="3">
        <v>25333</v>
      </c>
      <c r="N167">
        <v>4183333333</v>
      </c>
      <c r="O167">
        <v>2200000000</v>
      </c>
      <c r="P167">
        <v>17885</v>
      </c>
    </row>
    <row r="168" spans="1:16" x14ac:dyDescent="0.25">
      <c r="A168" s="1" t="s">
        <v>782</v>
      </c>
      <c r="B168" s="1" t="s">
        <v>1274</v>
      </c>
      <c r="C168" s="1"/>
      <c r="D168" s="1"/>
      <c r="E168" s="1" t="s">
        <v>783</v>
      </c>
      <c r="F168" s="1" t="s">
        <v>784</v>
      </c>
      <c r="G168" s="1" t="s">
        <v>1425</v>
      </c>
      <c r="H168" s="1" t="s">
        <v>785</v>
      </c>
      <c r="I168" s="1" t="s">
        <v>40</v>
      </c>
      <c r="J168" s="1" t="s">
        <v>440</v>
      </c>
      <c r="K168" t="s">
        <v>1246</v>
      </c>
      <c r="L168">
        <v>47329</v>
      </c>
      <c r="M168" s="3">
        <v>477</v>
      </c>
      <c r="N168">
        <v>1520000000</v>
      </c>
      <c r="O168">
        <v>14575000000</v>
      </c>
    </row>
    <row r="169" spans="1:16" x14ac:dyDescent="0.25">
      <c r="A169" s="1" t="s">
        <v>786</v>
      </c>
      <c r="B169" s="1" t="s">
        <v>1261</v>
      </c>
      <c r="C169" s="1"/>
      <c r="D169" s="1"/>
      <c r="E169" s="1" t="s">
        <v>787</v>
      </c>
      <c r="F169" s="1" t="s">
        <v>788</v>
      </c>
      <c r="G169" s="1" t="s">
        <v>788</v>
      </c>
      <c r="H169" s="1" t="s">
        <v>789</v>
      </c>
      <c r="I169" s="1" t="s">
        <v>21</v>
      </c>
      <c r="J169" s="1" t="s">
        <v>22</v>
      </c>
      <c r="K169" t="s">
        <v>790</v>
      </c>
      <c r="L169">
        <v>5633770</v>
      </c>
      <c r="M169" s="3">
        <v>324220</v>
      </c>
      <c r="N169">
        <v>6200000000</v>
      </c>
      <c r="O169">
        <v>1000000000</v>
      </c>
      <c r="P169">
        <v>504276</v>
      </c>
    </row>
    <row r="170" spans="1:16" x14ac:dyDescent="0.25">
      <c r="A170" s="1" t="s">
        <v>791</v>
      </c>
      <c r="B170" s="1" t="s">
        <v>1281</v>
      </c>
      <c r="C170" s="1"/>
      <c r="D170" s="1"/>
      <c r="E170" s="1" t="s">
        <v>792</v>
      </c>
      <c r="F170" s="1" t="s">
        <v>793</v>
      </c>
      <c r="G170" s="1" t="s">
        <v>670</v>
      </c>
      <c r="H170" s="1" t="s">
        <v>794</v>
      </c>
      <c r="I170" s="1" t="s">
        <v>15</v>
      </c>
      <c r="J170" s="1" t="s">
        <v>81</v>
      </c>
      <c r="K170" t="s">
        <v>795</v>
      </c>
      <c r="L170">
        <v>5291146</v>
      </c>
      <c r="M170" s="3">
        <v>212460</v>
      </c>
      <c r="N170">
        <v>2100000000</v>
      </c>
      <c r="O170">
        <v>5700000000</v>
      </c>
      <c r="P170">
        <v>104351</v>
      </c>
    </row>
    <row r="171" spans="1:16" x14ac:dyDescent="0.25">
      <c r="A171" s="1" t="s">
        <v>796</v>
      </c>
      <c r="B171" s="1" t="s">
        <v>1275</v>
      </c>
      <c r="C171" s="1"/>
      <c r="D171" s="1"/>
      <c r="E171" s="1" t="s">
        <v>797</v>
      </c>
      <c r="F171" s="1" t="s">
        <v>798</v>
      </c>
      <c r="G171" s="1" t="s">
        <v>798</v>
      </c>
      <c r="H171" s="1" t="s">
        <v>799</v>
      </c>
      <c r="I171" s="1" t="s">
        <v>15</v>
      </c>
      <c r="J171" s="1" t="s">
        <v>16</v>
      </c>
      <c r="K171" t="s">
        <v>800</v>
      </c>
      <c r="L171">
        <v>241499431</v>
      </c>
      <c r="M171" s="3">
        <v>803940</v>
      </c>
      <c r="N171">
        <v>3000000000</v>
      </c>
      <c r="O171">
        <v>7000000000</v>
      </c>
    </row>
    <row r="172" spans="1:16" x14ac:dyDescent="0.25">
      <c r="A172" s="1" t="s">
        <v>801</v>
      </c>
      <c r="B172" s="1" t="s">
        <v>1263</v>
      </c>
      <c r="C172" s="1"/>
      <c r="D172" s="1"/>
      <c r="E172" s="1" t="s">
        <v>802</v>
      </c>
      <c r="F172" s="1" t="s">
        <v>803</v>
      </c>
      <c r="G172" s="1" t="s">
        <v>806</v>
      </c>
      <c r="H172" s="1" t="s">
        <v>1241</v>
      </c>
      <c r="I172" s="1" t="s">
        <v>40</v>
      </c>
      <c r="J172" s="1" t="s">
        <v>440</v>
      </c>
      <c r="K172" t="s">
        <v>804</v>
      </c>
      <c r="L172">
        <v>16733</v>
      </c>
      <c r="M172" s="3">
        <v>458</v>
      </c>
      <c r="N172">
        <v>750000000</v>
      </c>
      <c r="O172">
        <v>13450000000</v>
      </c>
      <c r="P172">
        <v>333</v>
      </c>
    </row>
    <row r="173" spans="1:16" x14ac:dyDescent="0.25">
      <c r="A173" s="1" t="s">
        <v>1207</v>
      </c>
      <c r="B173" s="1" t="s">
        <v>1271</v>
      </c>
      <c r="C173" s="1"/>
      <c r="D173" s="1" t="s">
        <v>1287</v>
      </c>
      <c r="E173" s="1" t="s">
        <v>805</v>
      </c>
      <c r="F173" s="1" t="s">
        <v>806</v>
      </c>
      <c r="G173" s="1" t="e">
        <f>NA()</f>
        <v>#N/A</v>
      </c>
      <c r="H173" s="1" t="s">
        <v>807</v>
      </c>
      <c r="I173" s="1" t="s">
        <v>15</v>
      </c>
      <c r="J173" s="1" t="s">
        <v>81</v>
      </c>
      <c r="K173" t="s">
        <v>808</v>
      </c>
      <c r="L173">
        <v>5557096</v>
      </c>
      <c r="M173" s="3">
        <v>5970</v>
      </c>
      <c r="N173">
        <v>3190000000</v>
      </c>
      <c r="O173">
        <v>3520000000</v>
      </c>
    </row>
    <row r="174" spans="1:16" x14ac:dyDescent="0.25">
      <c r="A174" s="1" t="s">
        <v>809</v>
      </c>
      <c r="B174" s="1" t="s">
        <v>1263</v>
      </c>
      <c r="C174" s="1"/>
      <c r="D174" s="1"/>
      <c r="E174" s="1" t="s">
        <v>810</v>
      </c>
      <c r="F174" s="1" t="s">
        <v>811</v>
      </c>
      <c r="G174" s="1" t="s">
        <v>891</v>
      </c>
      <c r="H174" s="1" t="s">
        <v>812</v>
      </c>
      <c r="I174" s="1" t="s">
        <v>58</v>
      </c>
      <c r="J174" s="1" t="s">
        <v>135</v>
      </c>
      <c r="K174" t="s">
        <v>813</v>
      </c>
      <c r="L174">
        <v>4064780</v>
      </c>
      <c r="M174" s="3">
        <v>78200</v>
      </c>
      <c r="N174">
        <v>900000000</v>
      </c>
      <c r="O174">
        <v>-8000000000</v>
      </c>
      <c r="P174">
        <v>91675</v>
      </c>
    </row>
    <row r="175" spans="1:16" x14ac:dyDescent="0.25">
      <c r="A175" s="1" t="s">
        <v>814</v>
      </c>
      <c r="B175" s="1" t="s">
        <v>1282</v>
      </c>
      <c r="C175" s="1"/>
      <c r="D175" s="1"/>
      <c r="E175" s="1" t="s">
        <v>815</v>
      </c>
      <c r="F175" s="1" t="s">
        <v>816</v>
      </c>
      <c r="G175" s="1" t="s">
        <v>1427</v>
      </c>
      <c r="H175" s="1" t="s">
        <v>817</v>
      </c>
      <c r="I175" s="1" t="s">
        <v>40</v>
      </c>
      <c r="J175" s="1" t="s">
        <v>371</v>
      </c>
      <c r="K175" t="s">
        <v>818</v>
      </c>
      <c r="L175">
        <v>10185363</v>
      </c>
      <c r="M175">
        <v>462840</v>
      </c>
    </row>
    <row r="176" spans="1:16" x14ac:dyDescent="0.25">
      <c r="A176" s="1" t="s">
        <v>819</v>
      </c>
      <c r="B176" s="1" t="s">
        <v>1263</v>
      </c>
      <c r="C176" s="1"/>
      <c r="D176" s="1"/>
      <c r="E176" s="1" t="s">
        <v>820</v>
      </c>
      <c r="F176" s="1" t="s">
        <v>821</v>
      </c>
      <c r="G176" s="1" t="s">
        <v>811</v>
      </c>
      <c r="H176" s="1" t="s">
        <v>822</v>
      </c>
      <c r="I176" s="1" t="s">
        <v>58</v>
      </c>
      <c r="J176" s="1" t="s">
        <v>75</v>
      </c>
      <c r="K176" t="s">
        <v>823</v>
      </c>
      <c r="L176">
        <v>6109644</v>
      </c>
      <c r="M176" s="3">
        <v>406750</v>
      </c>
      <c r="N176">
        <v>-2300000000</v>
      </c>
      <c r="O176">
        <v>-5800000000</v>
      </c>
      <c r="P176">
        <v>45465</v>
      </c>
    </row>
    <row r="177" spans="1:16" x14ac:dyDescent="0.25">
      <c r="A177" s="1" t="s">
        <v>824</v>
      </c>
      <c r="B177" s="1" t="s">
        <v>1263</v>
      </c>
      <c r="C177" s="1"/>
      <c r="D177" s="1"/>
      <c r="E177" s="1" t="s">
        <v>825</v>
      </c>
      <c r="F177" s="1" t="s">
        <v>826</v>
      </c>
      <c r="G177" s="1" t="s">
        <v>826</v>
      </c>
      <c r="H177" s="1" t="s">
        <v>827</v>
      </c>
      <c r="I177" s="1" t="s">
        <v>58</v>
      </c>
      <c r="J177" s="1" t="s">
        <v>75</v>
      </c>
      <c r="K177" t="s">
        <v>828</v>
      </c>
      <c r="L177">
        <v>34350244</v>
      </c>
      <c r="M177" s="3">
        <v>1285220</v>
      </c>
      <c r="N177">
        <v>-1000000000</v>
      </c>
      <c r="O177">
        <v>-7600000000</v>
      </c>
      <c r="P177">
        <v>303293</v>
      </c>
    </row>
    <row r="178" spans="1:16" x14ac:dyDescent="0.25">
      <c r="A178" s="1" t="s">
        <v>829</v>
      </c>
      <c r="B178" s="1" t="s">
        <v>1188</v>
      </c>
      <c r="C178" s="1"/>
      <c r="D178" s="1" t="s">
        <v>1289</v>
      </c>
      <c r="E178" s="1" t="s">
        <v>830</v>
      </c>
      <c r="F178" s="1" t="s">
        <v>831</v>
      </c>
      <c r="G178" s="1" t="s">
        <v>1424</v>
      </c>
      <c r="H178" s="1" t="s">
        <v>832</v>
      </c>
      <c r="I178" s="1" t="s">
        <v>15</v>
      </c>
      <c r="J178" s="1" t="s">
        <v>185</v>
      </c>
      <c r="K178" t="s">
        <v>833</v>
      </c>
      <c r="L178">
        <v>114123600</v>
      </c>
      <c r="M178">
        <v>300000</v>
      </c>
    </row>
    <row r="179" spans="1:16" x14ac:dyDescent="0.25">
      <c r="A179" s="1" t="s">
        <v>1203</v>
      </c>
      <c r="B179" s="1" t="s">
        <v>1188</v>
      </c>
      <c r="C179" s="1" t="s">
        <v>1204</v>
      </c>
      <c r="D179" s="1" t="s">
        <v>1290</v>
      </c>
      <c r="E179" s="1" t="s">
        <v>834</v>
      </c>
      <c r="F179" s="1" t="s">
        <v>835</v>
      </c>
      <c r="G179" s="1" t="s">
        <v>1428</v>
      </c>
      <c r="H179" s="1" t="s">
        <v>836</v>
      </c>
      <c r="I179" s="1" t="s">
        <v>40</v>
      </c>
      <c r="J179" s="1" t="s">
        <v>41</v>
      </c>
      <c r="K179" t="s">
        <v>1242</v>
      </c>
      <c r="L179">
        <v>35</v>
      </c>
      <c r="M179" s="3">
        <v>47</v>
      </c>
      <c r="N179">
        <v>-2506666666</v>
      </c>
      <c r="O179">
        <v>-13010000000</v>
      </c>
    </row>
    <row r="180" spans="1:16" x14ac:dyDescent="0.25">
      <c r="A180" s="1" t="s">
        <v>837</v>
      </c>
      <c r="B180" s="1" t="s">
        <v>1263</v>
      </c>
      <c r="C180" s="1"/>
      <c r="D180" s="1"/>
      <c r="E180" s="1" t="s">
        <v>838</v>
      </c>
      <c r="F180" s="1" t="s">
        <v>839</v>
      </c>
      <c r="G180" s="1" t="s">
        <v>839</v>
      </c>
      <c r="H180" s="1" t="s">
        <v>840</v>
      </c>
      <c r="I180" s="1" t="s">
        <v>21</v>
      </c>
      <c r="J180" s="1" t="s">
        <v>124</v>
      </c>
      <c r="K180" t="s">
        <v>841</v>
      </c>
      <c r="L180">
        <v>37281000</v>
      </c>
      <c r="M180" s="3">
        <v>312685</v>
      </c>
      <c r="N180">
        <v>5200000000</v>
      </c>
      <c r="O180">
        <v>2000000000</v>
      </c>
      <c r="P180">
        <v>979960</v>
      </c>
    </row>
    <row r="181" spans="1:16" x14ac:dyDescent="0.25">
      <c r="A181" s="1" t="s">
        <v>842</v>
      </c>
      <c r="B181" s="1"/>
      <c r="C181" s="1"/>
      <c r="D181" s="1" t="s">
        <v>1288</v>
      </c>
      <c r="E181" s="1" t="s">
        <v>843</v>
      </c>
      <c r="F181" s="1" t="s">
        <v>844</v>
      </c>
      <c r="G181" s="1" t="s">
        <v>1429</v>
      </c>
      <c r="H181" s="1" t="s">
        <v>845</v>
      </c>
      <c r="I181" s="1" t="s">
        <v>21</v>
      </c>
      <c r="J181" s="1" t="s">
        <v>27</v>
      </c>
      <c r="K181" t="s">
        <v>846</v>
      </c>
      <c r="L181">
        <v>11424031</v>
      </c>
      <c r="M181" s="3">
        <v>92391</v>
      </c>
      <c r="N181">
        <v>3950000000</v>
      </c>
      <c r="O181">
        <v>-800000000</v>
      </c>
      <c r="P181">
        <v>321440</v>
      </c>
    </row>
    <row r="182" spans="1:16" x14ac:dyDescent="0.25">
      <c r="A182" s="1" t="s">
        <v>847</v>
      </c>
      <c r="B182" s="1" t="s">
        <v>1283</v>
      </c>
      <c r="C182" s="1"/>
      <c r="D182" s="1"/>
      <c r="E182" s="1" t="s">
        <v>848</v>
      </c>
      <c r="F182" s="1" t="s">
        <v>849</v>
      </c>
      <c r="G182" s="1" t="s">
        <v>1430</v>
      </c>
      <c r="H182" s="1" t="s">
        <v>850</v>
      </c>
      <c r="I182" s="1" t="s">
        <v>58</v>
      </c>
      <c r="J182" s="1" t="s">
        <v>59</v>
      </c>
      <c r="K182" t="s">
        <v>851</v>
      </c>
      <c r="L182">
        <v>3184835</v>
      </c>
      <c r="M182" s="3">
        <v>9104</v>
      </c>
      <c r="N182">
        <v>1825000000</v>
      </c>
      <c r="O182">
        <v>-6650000000</v>
      </c>
      <c r="P182">
        <v>122522</v>
      </c>
    </row>
    <row r="183" spans="1:16" x14ac:dyDescent="0.25">
      <c r="A183" s="1" t="s">
        <v>852</v>
      </c>
      <c r="B183" s="1" t="s">
        <v>1271</v>
      </c>
      <c r="C183" s="1"/>
      <c r="D183" s="1"/>
      <c r="E183" s="1" t="s">
        <v>853</v>
      </c>
      <c r="F183" s="1" t="s">
        <v>854</v>
      </c>
      <c r="G183" s="1" t="s">
        <v>854</v>
      </c>
      <c r="H183" s="1" t="s">
        <v>855</v>
      </c>
      <c r="I183" s="1" t="s">
        <v>15</v>
      </c>
      <c r="J183" s="1" t="s">
        <v>81</v>
      </c>
      <c r="K183" t="s">
        <v>856</v>
      </c>
      <c r="L183">
        <v>3370611</v>
      </c>
      <c r="M183" s="3">
        <v>11437</v>
      </c>
      <c r="N183">
        <v>2550000000</v>
      </c>
      <c r="O183">
        <v>5125000000</v>
      </c>
      <c r="P183">
        <v>222776</v>
      </c>
    </row>
    <row r="184" spans="1:16" x14ac:dyDescent="0.25">
      <c r="A184" s="1" t="s">
        <v>1208</v>
      </c>
      <c r="B184" s="1"/>
      <c r="C184" s="1"/>
      <c r="D184" s="1"/>
      <c r="E184" s="1" t="s">
        <v>857</v>
      </c>
      <c r="F184" s="1" t="s">
        <v>858</v>
      </c>
      <c r="G184" s="1" t="s">
        <v>858</v>
      </c>
      <c r="H184" s="1" t="s">
        <v>859</v>
      </c>
      <c r="I184" s="1" t="s">
        <v>33</v>
      </c>
      <c r="J184" s="1" t="s">
        <v>180</v>
      </c>
      <c r="K184" t="s">
        <v>1239</v>
      </c>
      <c r="L184">
        <v>910985</v>
      </c>
      <c r="M184">
        <v>2511</v>
      </c>
    </row>
    <row r="185" spans="1:16" x14ac:dyDescent="0.25">
      <c r="A185" s="1" t="s">
        <v>860</v>
      </c>
      <c r="B185" s="1"/>
      <c r="C185" s="1"/>
      <c r="D185" s="1"/>
      <c r="E185" s="1" t="s">
        <v>861</v>
      </c>
      <c r="F185" s="1" t="s">
        <v>862</v>
      </c>
      <c r="G185" s="1" t="s">
        <v>862</v>
      </c>
      <c r="H185" s="1" t="s">
        <v>863</v>
      </c>
      <c r="I185" s="1" t="s">
        <v>21</v>
      </c>
      <c r="J185" s="1" t="s">
        <v>124</v>
      </c>
      <c r="K185" t="s">
        <v>864</v>
      </c>
      <c r="L185">
        <v>19036031</v>
      </c>
      <c r="M185" s="3">
        <v>237500</v>
      </c>
      <c r="N185">
        <v>4600000000</v>
      </c>
      <c r="O185">
        <v>2500000000</v>
      </c>
      <c r="P185">
        <v>403395</v>
      </c>
    </row>
    <row r="186" spans="1:16" x14ac:dyDescent="0.25">
      <c r="A186" s="1" t="s">
        <v>865</v>
      </c>
      <c r="B186" s="1"/>
      <c r="C186" s="1"/>
      <c r="D186" s="1" t="s">
        <v>1209</v>
      </c>
      <c r="E186" s="1" t="s">
        <v>866</v>
      </c>
      <c r="F186" s="1" t="s">
        <v>867</v>
      </c>
      <c r="G186" s="1" t="s">
        <v>928</v>
      </c>
      <c r="H186" s="1" t="s">
        <v>868</v>
      </c>
      <c r="I186" s="1" t="s">
        <v>21</v>
      </c>
      <c r="J186" s="1" t="s">
        <v>124</v>
      </c>
      <c r="K186" t="s">
        <v>869</v>
      </c>
      <c r="L186">
        <v>146028325</v>
      </c>
      <c r="M186" s="3">
        <v>17100000</v>
      </c>
      <c r="N186">
        <v>6000000000</v>
      </c>
      <c r="O186">
        <v>10000000000</v>
      </c>
      <c r="P186">
        <v>2076396</v>
      </c>
    </row>
    <row r="187" spans="1:16" x14ac:dyDescent="0.25">
      <c r="A187" s="1" t="s">
        <v>870</v>
      </c>
      <c r="B187" s="1" t="s">
        <v>1263</v>
      </c>
      <c r="C187" s="1"/>
      <c r="D187" s="1"/>
      <c r="E187" s="1" t="s">
        <v>871</v>
      </c>
      <c r="F187" s="1" t="s">
        <v>872</v>
      </c>
      <c r="G187" s="1" t="s">
        <v>872</v>
      </c>
      <c r="H187" s="1" t="s">
        <v>873</v>
      </c>
      <c r="I187" s="1" t="s">
        <v>33</v>
      </c>
      <c r="J187" s="1" t="s">
        <v>180</v>
      </c>
      <c r="K187" t="s">
        <v>874</v>
      </c>
      <c r="L187">
        <v>14418145</v>
      </c>
      <c r="M187" s="3">
        <v>26338</v>
      </c>
      <c r="N187">
        <v>-200000000</v>
      </c>
      <c r="O187">
        <v>3000000000</v>
      </c>
      <c r="P187">
        <v>14771</v>
      </c>
    </row>
    <row r="188" spans="1:16" x14ac:dyDescent="0.25">
      <c r="A188" s="1" t="s">
        <v>1210</v>
      </c>
      <c r="B188" s="1"/>
      <c r="C188" s="1"/>
      <c r="D188" s="1" t="s">
        <v>875</v>
      </c>
      <c r="E188" s="1" t="s">
        <v>876</v>
      </c>
      <c r="F188" s="1" t="s">
        <v>877</v>
      </c>
      <c r="G188" s="1" t="s">
        <v>877</v>
      </c>
      <c r="H188" s="1" t="s">
        <v>878</v>
      </c>
      <c r="I188" s="1" t="s">
        <v>33</v>
      </c>
      <c r="J188" s="1" t="s">
        <v>141</v>
      </c>
      <c r="K188" t="e">
        <f>NA()</f>
        <v>#N/A</v>
      </c>
      <c r="L188">
        <v>5651</v>
      </c>
      <c r="M188" s="3">
        <v>410</v>
      </c>
      <c r="N188">
        <v>-1595000000</v>
      </c>
      <c r="O188">
        <v>-570000000</v>
      </c>
    </row>
    <row r="189" spans="1:16" x14ac:dyDescent="0.25">
      <c r="A189" s="1" t="s">
        <v>879</v>
      </c>
      <c r="B189" s="1"/>
      <c r="C189" s="1"/>
      <c r="D189" s="1" t="s">
        <v>1260</v>
      </c>
      <c r="E189" s="1" t="s">
        <v>880</v>
      </c>
      <c r="F189" s="1" t="s">
        <v>881</v>
      </c>
      <c r="G189" s="1" t="s">
        <v>933</v>
      </c>
      <c r="H189" s="1" t="s">
        <v>882</v>
      </c>
      <c r="I189" s="1" t="s">
        <v>58</v>
      </c>
      <c r="J189" s="1" t="s">
        <v>59</v>
      </c>
      <c r="K189" t="s">
        <v>883</v>
      </c>
      <c r="L189">
        <v>51320</v>
      </c>
      <c r="M189" s="3">
        <v>261</v>
      </c>
      <c r="N189">
        <v>1733333333</v>
      </c>
      <c r="O189">
        <v>-6275000000</v>
      </c>
      <c r="P189">
        <v>1129</v>
      </c>
    </row>
    <row r="190" spans="1:16" x14ac:dyDescent="0.25">
      <c r="A190" s="1" t="s">
        <v>884</v>
      </c>
      <c r="B190" s="1"/>
      <c r="C190" s="1"/>
      <c r="D190" s="1"/>
      <c r="E190" s="1" t="s">
        <v>885</v>
      </c>
      <c r="F190" s="1" t="s">
        <v>886</v>
      </c>
      <c r="G190" s="1" t="s">
        <v>915</v>
      </c>
      <c r="H190" s="1" t="s">
        <v>887</v>
      </c>
      <c r="I190" s="1" t="s">
        <v>58</v>
      </c>
      <c r="J190" s="1" t="s">
        <v>59</v>
      </c>
      <c r="K190" t="s">
        <v>888</v>
      </c>
      <c r="L190">
        <v>184100</v>
      </c>
      <c r="M190" s="3">
        <v>616</v>
      </c>
      <c r="N190">
        <v>1388333333</v>
      </c>
      <c r="O190">
        <v>-6096666666</v>
      </c>
      <c r="P190">
        <v>2632</v>
      </c>
    </row>
    <row r="191" spans="1:16" x14ac:dyDescent="0.25">
      <c r="A191" s="1" t="s">
        <v>1200</v>
      </c>
      <c r="B191" s="1" t="s">
        <v>1266</v>
      </c>
      <c r="C191" s="1" t="s">
        <v>1201</v>
      </c>
      <c r="D191" s="1"/>
      <c r="E191" s="1" t="s">
        <v>901</v>
      </c>
      <c r="F191" s="1" t="s">
        <v>902</v>
      </c>
      <c r="G191" s="1" t="s">
        <v>1426</v>
      </c>
      <c r="H191" s="1" t="s">
        <v>903</v>
      </c>
      <c r="I191" s="1" t="s">
        <v>58</v>
      </c>
      <c r="J191" s="1" t="s">
        <v>59</v>
      </c>
      <c r="K191" t="s">
        <v>904</v>
      </c>
      <c r="L191">
        <v>31496</v>
      </c>
      <c r="M191" s="3">
        <v>53</v>
      </c>
      <c r="N191">
        <v>1808333333</v>
      </c>
      <c r="O191">
        <v>-6395000000</v>
      </c>
    </row>
    <row r="192" spans="1:16" x14ac:dyDescent="0.25">
      <c r="A192" s="1" t="s">
        <v>889</v>
      </c>
      <c r="B192" s="1" t="s">
        <v>1285</v>
      </c>
      <c r="C192" s="1"/>
      <c r="D192" s="1"/>
      <c r="E192" s="1" t="s">
        <v>890</v>
      </c>
      <c r="F192" s="1" t="s">
        <v>891</v>
      </c>
      <c r="G192" s="1" t="s">
        <v>961</v>
      </c>
      <c r="H192" s="1" t="s">
        <v>892</v>
      </c>
      <c r="I192" s="1" t="s">
        <v>58</v>
      </c>
      <c r="J192" s="1" t="s">
        <v>147</v>
      </c>
      <c r="K192" t="s">
        <v>893</v>
      </c>
      <c r="L192">
        <v>5819</v>
      </c>
      <c r="M192" s="3">
        <v>242</v>
      </c>
      <c r="N192">
        <v>4683333333</v>
      </c>
      <c r="O192">
        <v>-5633333333</v>
      </c>
    </row>
    <row r="193" spans="1:16" x14ac:dyDescent="0.25">
      <c r="A193" s="1" t="s">
        <v>894</v>
      </c>
      <c r="B193" s="1"/>
      <c r="C193" s="1"/>
      <c r="D193" s="1" t="s">
        <v>1221</v>
      </c>
      <c r="E193" s="1" t="s">
        <v>895</v>
      </c>
      <c r="F193" s="1" t="s">
        <v>896</v>
      </c>
      <c r="G193" s="1" t="s">
        <v>896</v>
      </c>
      <c r="H193" s="1" t="s">
        <v>897</v>
      </c>
      <c r="I193" s="1" t="s">
        <v>58</v>
      </c>
      <c r="J193" s="1" t="s">
        <v>59</v>
      </c>
      <c r="K193" t="s">
        <v>1227</v>
      </c>
      <c r="L193">
        <v>109296</v>
      </c>
      <c r="M193">
        <v>389</v>
      </c>
    </row>
    <row r="194" spans="1:16" x14ac:dyDescent="0.25">
      <c r="A194" s="1" t="s">
        <v>1187</v>
      </c>
      <c r="B194" s="1" t="s">
        <v>1285</v>
      </c>
      <c r="C194" s="1"/>
      <c r="D194" s="1" t="s">
        <v>1360</v>
      </c>
      <c r="E194" s="1" t="s">
        <v>898</v>
      </c>
      <c r="F194" s="1" t="s">
        <v>899</v>
      </c>
      <c r="G194" s="1" t="s">
        <v>1453</v>
      </c>
      <c r="H194" s="1" t="s">
        <v>900</v>
      </c>
      <c r="I194" s="1" t="s">
        <v>58</v>
      </c>
      <c r="J194" s="1" t="s">
        <v>59</v>
      </c>
      <c r="K194" t="s">
        <v>1361</v>
      </c>
      <c r="L194">
        <v>10562</v>
      </c>
      <c r="M194" s="3">
        <v>21</v>
      </c>
      <c r="N194">
        <v>1850000000</v>
      </c>
      <c r="O194">
        <v>-6341666666</v>
      </c>
    </row>
    <row r="195" spans="1:16" x14ac:dyDescent="0.25">
      <c r="A195" s="1" t="s">
        <v>905</v>
      </c>
      <c r="B195" s="1" t="s">
        <v>1282</v>
      </c>
      <c r="C195" s="1"/>
      <c r="D195" s="1"/>
      <c r="E195" s="1" t="s">
        <v>906</v>
      </c>
      <c r="F195" s="1" t="s">
        <v>907</v>
      </c>
      <c r="G195" s="1" t="s">
        <v>907</v>
      </c>
      <c r="H195" s="1" t="s">
        <v>908</v>
      </c>
      <c r="I195" s="1" t="s">
        <v>40</v>
      </c>
      <c r="J195" s="1" t="s">
        <v>41</v>
      </c>
      <c r="K195" t="s">
        <v>909</v>
      </c>
      <c r="L195">
        <v>205557</v>
      </c>
      <c r="M195" s="3">
        <v>2944</v>
      </c>
      <c r="N195">
        <v>-1358333333</v>
      </c>
      <c r="O195">
        <v>-17233333333</v>
      </c>
      <c r="P195">
        <v>1160</v>
      </c>
    </row>
    <row r="196" spans="1:16" x14ac:dyDescent="0.25">
      <c r="A196" s="1" t="s">
        <v>910</v>
      </c>
      <c r="B196" s="1" t="s">
        <v>1263</v>
      </c>
      <c r="C196" s="1"/>
      <c r="D196" s="1"/>
      <c r="E196" s="1" t="s">
        <v>911</v>
      </c>
      <c r="F196" s="1" t="s">
        <v>912</v>
      </c>
      <c r="G196" s="1" t="s">
        <v>912</v>
      </c>
      <c r="H196" s="1" t="s">
        <v>910</v>
      </c>
      <c r="I196" s="1" t="s">
        <v>21</v>
      </c>
      <c r="J196" s="1" t="s">
        <v>27</v>
      </c>
      <c r="K196" t="s">
        <v>913</v>
      </c>
      <c r="L196">
        <v>34159</v>
      </c>
      <c r="M196" s="3">
        <v>61</v>
      </c>
      <c r="N196">
        <v>4376666666</v>
      </c>
      <c r="O196">
        <v>1241666666</v>
      </c>
      <c r="P196">
        <v>2047</v>
      </c>
    </row>
    <row r="197" spans="1:16" x14ac:dyDescent="0.25">
      <c r="A197" s="1" t="s">
        <v>1232</v>
      </c>
      <c r="B197" s="1" t="s">
        <v>1286</v>
      </c>
      <c r="C197" s="1"/>
      <c r="D197" s="1"/>
      <c r="E197" s="1" t="s">
        <v>914</v>
      </c>
      <c r="F197" s="1" t="s">
        <v>915</v>
      </c>
      <c r="G197" s="1" t="s">
        <v>1452</v>
      </c>
      <c r="H197" s="1" t="s">
        <v>1233</v>
      </c>
      <c r="I197" s="1" t="s">
        <v>33</v>
      </c>
      <c r="J197" s="1" t="s">
        <v>52</v>
      </c>
      <c r="K197" t="s">
        <v>1234</v>
      </c>
      <c r="L197">
        <v>209607</v>
      </c>
      <c r="M197" s="3">
        <v>1001</v>
      </c>
      <c r="N197">
        <v>100000000</v>
      </c>
      <c r="O197">
        <v>700000000</v>
      </c>
      <c r="P197">
        <v>864</v>
      </c>
    </row>
    <row r="198" spans="1:16" x14ac:dyDescent="0.25">
      <c r="A198" s="1" t="s">
        <v>916</v>
      </c>
      <c r="B198" s="1" t="s">
        <v>1261</v>
      </c>
      <c r="C198" s="1"/>
      <c r="D198" s="1"/>
      <c r="E198" s="1" t="s">
        <v>917</v>
      </c>
      <c r="F198" s="1" t="s">
        <v>918</v>
      </c>
      <c r="G198" s="1" t="s">
        <v>918</v>
      </c>
      <c r="H198" s="1" t="s">
        <v>919</v>
      </c>
      <c r="I198" s="1" t="s">
        <v>15</v>
      </c>
      <c r="J198" s="1" t="s">
        <v>81</v>
      </c>
      <c r="K198" t="s">
        <v>920</v>
      </c>
      <c r="L198">
        <v>35300280</v>
      </c>
      <c r="M198">
        <v>2149690</v>
      </c>
    </row>
    <row r="199" spans="1:16" x14ac:dyDescent="0.25">
      <c r="A199" s="1" t="s">
        <v>921</v>
      </c>
      <c r="B199" s="1" t="s">
        <v>1263</v>
      </c>
      <c r="C199" s="1"/>
      <c r="D199" s="1"/>
      <c r="E199" s="1" t="s">
        <v>922</v>
      </c>
      <c r="F199" s="1" t="s">
        <v>923</v>
      </c>
      <c r="G199" s="1" t="s">
        <v>943</v>
      </c>
      <c r="H199" s="1" t="s">
        <v>924</v>
      </c>
      <c r="I199" s="1" t="s">
        <v>33</v>
      </c>
      <c r="J199" s="1" t="s">
        <v>141</v>
      </c>
      <c r="K199" t="s">
        <v>925</v>
      </c>
      <c r="L199">
        <v>19075959</v>
      </c>
      <c r="M199" s="3">
        <v>196190</v>
      </c>
      <c r="N199">
        <v>1400000000</v>
      </c>
      <c r="O199">
        <v>-1400000000</v>
      </c>
      <c r="P199">
        <v>34728</v>
      </c>
    </row>
    <row r="200" spans="1:16" x14ac:dyDescent="0.25">
      <c r="A200" s="1" t="s">
        <v>926</v>
      </c>
      <c r="B200" s="1" t="s">
        <v>1263</v>
      </c>
      <c r="C200" s="1"/>
      <c r="D200" s="1"/>
      <c r="E200" s="1" t="s">
        <v>927</v>
      </c>
      <c r="F200" s="1" t="s">
        <v>928</v>
      </c>
      <c r="G200" s="4" t="s">
        <v>1454</v>
      </c>
      <c r="H200" s="1" t="s">
        <v>929</v>
      </c>
      <c r="I200" s="1" t="s">
        <v>21</v>
      </c>
      <c r="J200" s="1" t="s">
        <v>27</v>
      </c>
      <c r="K200" t="s">
        <v>930</v>
      </c>
      <c r="L200">
        <v>6532019</v>
      </c>
      <c r="M200" s="3">
        <v>88361</v>
      </c>
      <c r="N200">
        <v>4400000000</v>
      </c>
      <c r="O200">
        <v>2100000000</v>
      </c>
      <c r="P200">
        <v>92549</v>
      </c>
    </row>
    <row r="201" spans="1:16" x14ac:dyDescent="0.25">
      <c r="A201" s="1" t="s">
        <v>931</v>
      </c>
      <c r="B201" s="1" t="s">
        <v>1263</v>
      </c>
      <c r="C201" s="1"/>
      <c r="D201" s="1"/>
      <c r="E201" s="1" t="s">
        <v>932</v>
      </c>
      <c r="F201" s="1" t="s">
        <v>933</v>
      </c>
      <c r="G201" s="1" t="s">
        <v>1012</v>
      </c>
      <c r="H201" s="1" t="s">
        <v>934</v>
      </c>
      <c r="I201" s="1" t="s">
        <v>33</v>
      </c>
      <c r="J201" s="1" t="s">
        <v>180</v>
      </c>
      <c r="K201" t="s">
        <v>935</v>
      </c>
      <c r="L201">
        <v>123097</v>
      </c>
      <c r="M201" s="3">
        <v>455</v>
      </c>
      <c r="N201">
        <v>-465749770</v>
      </c>
      <c r="O201">
        <v>5545401460</v>
      </c>
      <c r="P201">
        <v>2198</v>
      </c>
    </row>
    <row r="202" spans="1:16" x14ac:dyDescent="0.25">
      <c r="A202" s="1" t="s">
        <v>936</v>
      </c>
      <c r="B202" s="1" t="s">
        <v>1263</v>
      </c>
      <c r="C202" s="1"/>
      <c r="D202" s="1"/>
      <c r="E202" s="1" t="s">
        <v>937</v>
      </c>
      <c r="F202" s="1" t="s">
        <v>938</v>
      </c>
      <c r="G202" s="1" t="s">
        <v>938</v>
      </c>
      <c r="H202" s="1" t="s">
        <v>939</v>
      </c>
      <c r="I202" s="1" t="s">
        <v>33</v>
      </c>
      <c r="J202" s="1" t="s">
        <v>141</v>
      </c>
      <c r="K202" t="s">
        <v>940</v>
      </c>
      <c r="L202">
        <v>9077691</v>
      </c>
      <c r="M202" s="3">
        <v>71740</v>
      </c>
      <c r="N202">
        <v>850000000</v>
      </c>
      <c r="O202">
        <v>-1150000000</v>
      </c>
      <c r="P202">
        <v>8386</v>
      </c>
    </row>
    <row r="203" spans="1:16" x14ac:dyDescent="0.25">
      <c r="A203" s="1" t="s">
        <v>941</v>
      </c>
      <c r="B203" s="1" t="s">
        <v>1263</v>
      </c>
      <c r="C203" s="1"/>
      <c r="D203" s="1"/>
      <c r="E203" s="1" t="s">
        <v>942</v>
      </c>
      <c r="F203" s="1" t="s">
        <v>943</v>
      </c>
      <c r="G203" s="1" t="s">
        <v>923</v>
      </c>
      <c r="H203" s="1" t="s">
        <v>941</v>
      </c>
      <c r="I203" s="1" t="s">
        <v>15</v>
      </c>
      <c r="J203" s="1" t="s">
        <v>185</v>
      </c>
      <c r="K203" t="s">
        <v>944</v>
      </c>
      <c r="L203">
        <v>6110200</v>
      </c>
      <c r="M203" s="3">
        <v>692</v>
      </c>
      <c r="N203">
        <v>136666666</v>
      </c>
      <c r="O203">
        <v>10380000000</v>
      </c>
      <c r="P203">
        <v>564774</v>
      </c>
    </row>
    <row r="204" spans="1:16" x14ac:dyDescent="0.25">
      <c r="A204" s="1" t="s">
        <v>948</v>
      </c>
      <c r="B204" s="1"/>
      <c r="C204" s="1" t="s">
        <v>1213</v>
      </c>
      <c r="D204" s="1"/>
      <c r="E204" s="1" t="s">
        <v>945</v>
      </c>
      <c r="F204" s="1" t="s">
        <v>946</v>
      </c>
      <c r="G204" s="1" t="s">
        <v>1431</v>
      </c>
      <c r="H204" s="1" t="s">
        <v>947</v>
      </c>
      <c r="I204" s="1" t="s">
        <v>58</v>
      </c>
      <c r="J204" s="1" t="s">
        <v>59</v>
      </c>
      <c r="K204" t="s">
        <v>948</v>
      </c>
      <c r="L204">
        <v>41349</v>
      </c>
      <c r="M204" s="3">
        <v>21</v>
      </c>
      <c r="N204">
        <v>1803333300</v>
      </c>
      <c r="O204">
        <v>-6305000000</v>
      </c>
    </row>
    <row r="205" spans="1:16" x14ac:dyDescent="0.25">
      <c r="A205" s="1" t="s">
        <v>949</v>
      </c>
      <c r="B205" s="1"/>
      <c r="C205" s="1"/>
      <c r="D205" s="1" t="s">
        <v>1291</v>
      </c>
      <c r="E205" s="1" t="s">
        <v>950</v>
      </c>
      <c r="F205" s="1" t="s">
        <v>951</v>
      </c>
      <c r="G205" s="1" t="s">
        <v>1451</v>
      </c>
      <c r="H205" s="1" t="s">
        <v>952</v>
      </c>
      <c r="I205" s="1" t="s">
        <v>21</v>
      </c>
      <c r="J205" s="1" t="s">
        <v>124</v>
      </c>
      <c r="K205" t="s">
        <v>953</v>
      </c>
      <c r="L205">
        <v>5405368</v>
      </c>
      <c r="M205" s="3">
        <v>48845</v>
      </c>
      <c r="N205">
        <v>4866666666</v>
      </c>
      <c r="O205">
        <v>1950000000</v>
      </c>
      <c r="P205">
        <v>147031</v>
      </c>
    </row>
    <row r="206" spans="1:16" x14ac:dyDescent="0.25">
      <c r="A206" s="1" t="s">
        <v>954</v>
      </c>
      <c r="B206" s="1" t="s">
        <v>1263</v>
      </c>
      <c r="C206" s="1"/>
      <c r="D206" s="1"/>
      <c r="E206" s="1" t="s">
        <v>955</v>
      </c>
      <c r="F206" s="1" t="s">
        <v>956</v>
      </c>
      <c r="G206" s="1" t="s">
        <v>956</v>
      </c>
      <c r="H206" s="1" t="s">
        <v>957</v>
      </c>
      <c r="I206" s="1" t="s">
        <v>21</v>
      </c>
      <c r="J206" s="1" t="s">
        <v>27</v>
      </c>
      <c r="K206" t="s">
        <v>958</v>
      </c>
      <c r="L206">
        <v>2135107</v>
      </c>
      <c r="M206">
        <v>20272</v>
      </c>
    </row>
    <row r="207" spans="1:16" x14ac:dyDescent="0.25">
      <c r="A207" s="1" t="s">
        <v>959</v>
      </c>
      <c r="B207" s="1" t="s">
        <v>1284</v>
      </c>
      <c r="C207" s="1"/>
      <c r="D207" s="1" t="s">
        <v>1235</v>
      </c>
      <c r="E207" s="1" t="s">
        <v>960</v>
      </c>
      <c r="F207" s="1" t="s">
        <v>961</v>
      </c>
      <c r="G207" s="1" t="s">
        <v>1450</v>
      </c>
      <c r="H207" s="1" t="s">
        <v>962</v>
      </c>
      <c r="I207" s="1" t="s">
        <v>40</v>
      </c>
      <c r="J207" s="1" t="s">
        <v>371</v>
      </c>
      <c r="K207" t="s">
        <v>1236</v>
      </c>
      <c r="L207">
        <v>750325</v>
      </c>
      <c r="M207" s="3">
        <v>28450</v>
      </c>
      <c r="N207">
        <v>-800000000</v>
      </c>
      <c r="O207">
        <v>15900000000</v>
      </c>
      <c r="P207">
        <v>1898</v>
      </c>
    </row>
    <row r="208" spans="1:16" x14ac:dyDescent="0.25">
      <c r="A208" s="1" t="s">
        <v>963</v>
      </c>
      <c r="B208" s="1" t="s">
        <v>1278</v>
      </c>
      <c r="C208" s="1"/>
      <c r="D208" s="1"/>
      <c r="E208" s="1" t="s">
        <v>964</v>
      </c>
      <c r="F208" s="1" t="s">
        <v>965</v>
      </c>
      <c r="G208" s="1" t="s">
        <v>965</v>
      </c>
      <c r="H208" s="1" t="s">
        <v>966</v>
      </c>
      <c r="I208" s="1" t="s">
        <v>33</v>
      </c>
      <c r="J208" s="1" t="s">
        <v>180</v>
      </c>
      <c r="K208" t="s">
        <v>967</v>
      </c>
      <c r="L208">
        <v>19655000</v>
      </c>
      <c r="M208">
        <v>637657</v>
      </c>
    </row>
    <row r="209" spans="1:16" x14ac:dyDescent="0.25">
      <c r="A209" s="1" t="s">
        <v>968</v>
      </c>
      <c r="B209" s="1" t="s">
        <v>1263</v>
      </c>
      <c r="C209" s="1"/>
      <c r="D209" s="1"/>
      <c r="E209" s="1" t="s">
        <v>969</v>
      </c>
      <c r="F209" s="1" t="s">
        <v>970</v>
      </c>
      <c r="G209" s="1" t="s">
        <v>1433</v>
      </c>
      <c r="H209" s="1" t="s">
        <v>971</v>
      </c>
      <c r="I209" s="1" t="s">
        <v>33</v>
      </c>
      <c r="J209" s="1" t="s">
        <v>168</v>
      </c>
      <c r="K209" t="s">
        <v>972</v>
      </c>
      <c r="L209">
        <v>63100945</v>
      </c>
      <c r="M209" s="3">
        <v>1219912</v>
      </c>
      <c r="N209">
        <v>-2900000000</v>
      </c>
      <c r="O209">
        <v>2400000000</v>
      </c>
      <c r="P209">
        <v>410338</v>
      </c>
    </row>
    <row r="210" spans="1:16" x14ac:dyDescent="0.25">
      <c r="A210" s="1" t="s">
        <v>1211</v>
      </c>
      <c r="B210" s="1" t="s">
        <v>1188</v>
      </c>
      <c r="C210" s="1"/>
      <c r="D210" s="1" t="s">
        <v>973</v>
      </c>
      <c r="E210" s="1" t="s">
        <v>974</v>
      </c>
      <c r="F210" s="1" t="s">
        <v>975</v>
      </c>
      <c r="G210" s="1" t="s">
        <v>946</v>
      </c>
      <c r="H210" s="1" t="s">
        <v>1237</v>
      </c>
      <c r="I210" s="1" t="s">
        <v>58</v>
      </c>
      <c r="J210" s="1" t="s">
        <v>75</v>
      </c>
      <c r="K210" t="s">
        <v>1238</v>
      </c>
      <c r="L210">
        <v>20</v>
      </c>
      <c r="M210">
        <v>3903</v>
      </c>
      <c r="N210">
        <v>-5450000000</v>
      </c>
      <c r="O210">
        <v>-3700000000</v>
      </c>
    </row>
    <row r="211" spans="1:16" x14ac:dyDescent="0.25">
      <c r="A211" s="1" t="s">
        <v>976</v>
      </c>
      <c r="B211" s="1"/>
      <c r="C211" s="1"/>
      <c r="D211" s="1" t="s">
        <v>1205</v>
      </c>
      <c r="E211" s="1" t="s">
        <v>977</v>
      </c>
      <c r="F211" s="1" t="s">
        <v>978</v>
      </c>
      <c r="G211" s="1" t="s">
        <v>1449</v>
      </c>
      <c r="H211" s="1" t="s">
        <v>979</v>
      </c>
      <c r="I211" s="1" t="s">
        <v>15</v>
      </c>
      <c r="J211" s="1" t="s">
        <v>243</v>
      </c>
      <c r="K211" t="s">
        <v>980</v>
      </c>
      <c r="L211">
        <v>51097986</v>
      </c>
      <c r="M211" s="3">
        <v>98480</v>
      </c>
      <c r="N211">
        <v>3700000000</v>
      </c>
      <c r="O211">
        <v>12750000000</v>
      </c>
      <c r="P211">
        <v>1790322</v>
      </c>
    </row>
    <row r="212" spans="1:16" x14ac:dyDescent="0.25">
      <c r="A212" s="1" t="s">
        <v>981</v>
      </c>
      <c r="B212" s="1" t="s">
        <v>1263</v>
      </c>
      <c r="C212" s="1"/>
      <c r="D212" s="1"/>
      <c r="E212" s="1" t="s">
        <v>982</v>
      </c>
      <c r="F212" s="1" t="s">
        <v>983</v>
      </c>
      <c r="G212" s="1" t="s">
        <v>1448</v>
      </c>
      <c r="H212" s="1" t="s">
        <v>984</v>
      </c>
      <c r="I212" s="1" t="s">
        <v>33</v>
      </c>
      <c r="J212" s="1" t="s">
        <v>52</v>
      </c>
      <c r="K212" t="s">
        <v>985</v>
      </c>
      <c r="L212">
        <v>15786898</v>
      </c>
      <c r="M212" s="3">
        <v>644329</v>
      </c>
      <c r="N212">
        <v>700000000</v>
      </c>
      <c r="O212">
        <v>3000000000</v>
      </c>
      <c r="P212">
        <v>3998</v>
      </c>
    </row>
    <row r="213" spans="1:16" x14ac:dyDescent="0.25">
      <c r="A213" s="1" t="s">
        <v>986</v>
      </c>
      <c r="B213" s="1" t="s">
        <v>1261</v>
      </c>
      <c r="C213" s="1"/>
      <c r="D213" s="1"/>
      <c r="E213" s="1" t="s">
        <v>987</v>
      </c>
      <c r="F213" s="1" t="s">
        <v>988</v>
      </c>
      <c r="G213" s="1" t="s">
        <v>1432</v>
      </c>
      <c r="H213" s="1" t="s">
        <v>989</v>
      </c>
      <c r="I213" s="1" t="s">
        <v>21</v>
      </c>
      <c r="J213" s="1" t="s">
        <v>27</v>
      </c>
      <c r="K213" t="s">
        <v>990</v>
      </c>
      <c r="L213">
        <v>49687120</v>
      </c>
      <c r="M213" s="3">
        <v>504782</v>
      </c>
      <c r="N213">
        <v>4000000000</v>
      </c>
      <c r="O213">
        <v>-400000000</v>
      </c>
      <c r="P213">
        <v>1799511</v>
      </c>
    </row>
    <row r="214" spans="1:16" x14ac:dyDescent="0.25">
      <c r="A214" s="1" t="s">
        <v>991</v>
      </c>
      <c r="B214" s="1" t="s">
        <v>1272</v>
      </c>
      <c r="C214" s="1"/>
      <c r="D214" s="1"/>
      <c r="E214" s="1" t="s">
        <v>992</v>
      </c>
      <c r="F214" s="1" t="s">
        <v>993</v>
      </c>
      <c r="G214" s="1" t="s">
        <v>1384</v>
      </c>
      <c r="H214" s="1" t="s">
        <v>994</v>
      </c>
      <c r="I214" s="1" t="s">
        <v>15</v>
      </c>
      <c r="J214" s="1" t="s">
        <v>16</v>
      </c>
      <c r="K214" t="s">
        <v>995</v>
      </c>
      <c r="L214">
        <v>21781800</v>
      </c>
      <c r="M214" s="3">
        <v>65610</v>
      </c>
      <c r="N214">
        <v>700000000</v>
      </c>
      <c r="O214">
        <v>8100000000</v>
      </c>
    </row>
    <row r="215" spans="1:16" x14ac:dyDescent="0.25">
      <c r="A215" s="1" t="s">
        <v>996</v>
      </c>
      <c r="B215" s="1" t="s">
        <v>1264</v>
      </c>
      <c r="C215" s="1"/>
      <c r="D215" s="1"/>
      <c r="E215" s="1" t="s">
        <v>997</v>
      </c>
      <c r="F215" s="1" t="s">
        <v>998</v>
      </c>
      <c r="G215" s="1" t="s">
        <v>1434</v>
      </c>
      <c r="H215" s="1" t="s">
        <v>999</v>
      </c>
      <c r="I215" s="1" t="s">
        <v>33</v>
      </c>
      <c r="J215" s="1" t="s">
        <v>34</v>
      </c>
      <c r="K215" t="s">
        <v>1000</v>
      </c>
      <c r="L215">
        <v>51662000</v>
      </c>
      <c r="M215" s="3">
        <v>1861484</v>
      </c>
      <c r="N215">
        <v>1500000000</v>
      </c>
      <c r="O215">
        <v>3000000000</v>
      </c>
      <c r="P215">
        <v>31506</v>
      </c>
    </row>
    <row r="216" spans="1:16" x14ac:dyDescent="0.25">
      <c r="A216" s="1" t="s">
        <v>1001</v>
      </c>
      <c r="B216" s="1" t="s">
        <v>1263</v>
      </c>
      <c r="C216" s="1"/>
      <c r="D216" s="1"/>
      <c r="E216" s="1" t="s">
        <v>1002</v>
      </c>
      <c r="F216" s="1" t="s">
        <v>1003</v>
      </c>
      <c r="G216" s="1" t="s">
        <v>1455</v>
      </c>
      <c r="H216" s="1" t="s">
        <v>1004</v>
      </c>
      <c r="I216" s="1" t="s">
        <v>58</v>
      </c>
      <c r="J216" s="1" t="s">
        <v>75</v>
      </c>
      <c r="K216" t="s">
        <v>1005</v>
      </c>
      <c r="L216">
        <v>616500</v>
      </c>
      <c r="M216" s="3">
        <v>163270</v>
      </c>
      <c r="N216">
        <v>400000000</v>
      </c>
      <c r="O216">
        <v>-5600000000</v>
      </c>
      <c r="P216">
        <v>4506</v>
      </c>
    </row>
    <row r="217" spans="1:16" x14ac:dyDescent="0.25">
      <c r="A217" s="1" t="s">
        <v>1212</v>
      </c>
      <c r="B217" s="1" t="s">
        <v>1284</v>
      </c>
      <c r="C217" s="1" t="s">
        <v>1204</v>
      </c>
      <c r="D217" s="1"/>
      <c r="E217" s="1" t="s">
        <v>1006</v>
      </c>
      <c r="F217" s="1" t="s">
        <v>1007</v>
      </c>
      <c r="G217" s="1" t="s">
        <v>333</v>
      </c>
      <c r="H217" s="1" t="s">
        <v>1008</v>
      </c>
      <c r="I217" s="1" t="s">
        <v>21</v>
      </c>
      <c r="J217" s="1" t="s">
        <v>22</v>
      </c>
      <c r="K217" t="s">
        <v>1009</v>
      </c>
      <c r="L217">
        <f>2881</f>
        <v>2881</v>
      </c>
      <c r="M217">
        <v>61399</v>
      </c>
      <c r="N217">
        <v>7800000000</v>
      </c>
      <c r="O217">
        <v>2000000000</v>
      </c>
    </row>
    <row r="218" spans="1:16" x14ac:dyDescent="0.25">
      <c r="A218" s="1" t="s">
        <v>1010</v>
      </c>
      <c r="B218" s="1" t="s">
        <v>1261</v>
      </c>
      <c r="C218" s="1"/>
      <c r="D218" s="1"/>
      <c r="E218" s="1" t="s">
        <v>1011</v>
      </c>
      <c r="F218" s="1" t="s">
        <v>1012</v>
      </c>
      <c r="G218" s="1" t="s">
        <v>1435</v>
      </c>
      <c r="H218" s="1" t="s">
        <v>1013</v>
      </c>
      <c r="I218" s="1" t="s">
        <v>21</v>
      </c>
      <c r="J218" s="1" t="s">
        <v>22</v>
      </c>
      <c r="K218" t="s">
        <v>1014</v>
      </c>
      <c r="L218">
        <v>10608128</v>
      </c>
      <c r="M218" s="3">
        <v>449964</v>
      </c>
      <c r="N218">
        <v>6200000000</v>
      </c>
      <c r="O218">
        <v>1500000000</v>
      </c>
      <c r="P218">
        <v>620297</v>
      </c>
    </row>
    <row r="219" spans="1:16" x14ac:dyDescent="0.25">
      <c r="A219" s="1" t="s">
        <v>1015</v>
      </c>
      <c r="B219" s="1"/>
      <c r="C219" s="1"/>
      <c r="D219" s="1" t="s">
        <v>1352</v>
      </c>
      <c r="E219" s="1" t="s">
        <v>1016</v>
      </c>
      <c r="F219" s="1" t="s">
        <v>1017</v>
      </c>
      <c r="G219" s="1" t="s">
        <v>352</v>
      </c>
      <c r="H219" s="1" t="s">
        <v>1018</v>
      </c>
      <c r="I219" s="1" t="s">
        <v>21</v>
      </c>
      <c r="J219" s="1" t="s">
        <v>98</v>
      </c>
      <c r="K219" t="s">
        <v>1019</v>
      </c>
      <c r="L219">
        <v>9139676</v>
      </c>
      <c r="M219" s="3">
        <v>41290</v>
      </c>
      <c r="N219">
        <v>4700000000</v>
      </c>
      <c r="O219">
        <v>800000000</v>
      </c>
      <c r="P219">
        <v>947125</v>
      </c>
    </row>
    <row r="220" spans="1:16" x14ac:dyDescent="0.25">
      <c r="A220" s="1" t="s">
        <v>1020</v>
      </c>
      <c r="B220" s="1"/>
      <c r="C220" s="1"/>
      <c r="D220" s="1" t="s">
        <v>1214</v>
      </c>
      <c r="E220" s="1" t="s">
        <v>1021</v>
      </c>
      <c r="F220" s="1" t="s">
        <v>1022</v>
      </c>
      <c r="G220" s="1" t="s">
        <v>1022</v>
      </c>
      <c r="H220" s="1" t="s">
        <v>1023</v>
      </c>
      <c r="I220" s="1" t="s">
        <v>15</v>
      </c>
      <c r="J220" s="1" t="s">
        <v>81</v>
      </c>
      <c r="K220" t="s">
        <v>1024</v>
      </c>
      <c r="L220">
        <v>26472497</v>
      </c>
      <c r="M220" s="3">
        <v>185180</v>
      </c>
      <c r="N220">
        <v>3500000000</v>
      </c>
      <c r="O220">
        <v>3800000000</v>
      </c>
    </row>
    <row r="221" spans="1:16" x14ac:dyDescent="0.25">
      <c r="A221" s="1" t="s">
        <v>1025</v>
      </c>
      <c r="B221" s="1"/>
      <c r="C221" s="1" t="s">
        <v>1295</v>
      </c>
      <c r="D221" s="1" t="s">
        <v>1294</v>
      </c>
      <c r="E221" s="1" t="s">
        <v>1026</v>
      </c>
      <c r="F221" s="1" t="s">
        <v>1027</v>
      </c>
      <c r="G221" s="1" t="s">
        <v>1027</v>
      </c>
      <c r="H221" s="1" t="s">
        <v>1028</v>
      </c>
      <c r="I221" s="1" t="s">
        <v>15</v>
      </c>
      <c r="J221" s="1" t="s">
        <v>243</v>
      </c>
      <c r="K221" t="s">
        <v>1226</v>
      </c>
      <c r="L221">
        <v>23243565</v>
      </c>
      <c r="M221">
        <v>36197</v>
      </c>
    </row>
    <row r="222" spans="1:16" x14ac:dyDescent="0.25">
      <c r="A222" s="1" t="s">
        <v>1029</v>
      </c>
      <c r="B222" s="1" t="s">
        <v>1263</v>
      </c>
      <c r="C222" s="1"/>
      <c r="D222" s="1"/>
      <c r="E222" s="1" t="s">
        <v>1030</v>
      </c>
      <c r="F222" s="1" t="s">
        <v>1031</v>
      </c>
      <c r="G222" s="1" t="s">
        <v>1436</v>
      </c>
      <c r="H222" s="1" t="s">
        <v>1032</v>
      </c>
      <c r="I222" s="1" t="s">
        <v>15</v>
      </c>
      <c r="J222" s="1" t="s">
        <v>552</v>
      </c>
      <c r="K222" t="s">
        <v>1033</v>
      </c>
      <c r="L222">
        <v>10721000</v>
      </c>
      <c r="M222" s="3">
        <v>143100</v>
      </c>
      <c r="N222">
        <v>3900000000</v>
      </c>
      <c r="O222">
        <v>7100000000</v>
      </c>
      <c r="P222">
        <v>14836</v>
      </c>
    </row>
    <row r="223" spans="1:16" x14ac:dyDescent="0.25">
      <c r="A223" s="1" t="s">
        <v>1034</v>
      </c>
      <c r="B223" s="1" t="s">
        <v>1216</v>
      </c>
      <c r="C223" s="1"/>
      <c r="D223" s="1"/>
      <c r="E223" s="1" t="s">
        <v>1035</v>
      </c>
      <c r="F223" s="1" t="s">
        <v>1036</v>
      </c>
      <c r="G223" s="1" t="s">
        <v>1036</v>
      </c>
      <c r="H223" s="1" t="s">
        <v>1037</v>
      </c>
      <c r="I223" s="1" t="s">
        <v>33</v>
      </c>
      <c r="J223" s="1" t="s">
        <v>180</v>
      </c>
      <c r="K223" t="s">
        <v>1038</v>
      </c>
      <c r="L223">
        <v>68153004</v>
      </c>
      <c r="M223" s="3">
        <v>945087</v>
      </c>
      <c r="N223">
        <v>-600000000</v>
      </c>
      <c r="O223">
        <v>3500000000</v>
      </c>
      <c r="P223">
        <v>85977</v>
      </c>
    </row>
    <row r="224" spans="1:16" x14ac:dyDescent="0.25">
      <c r="A224" s="1" t="s">
        <v>1039</v>
      </c>
      <c r="B224" s="1" t="s">
        <v>1261</v>
      </c>
      <c r="C224" s="1"/>
      <c r="D224" s="1"/>
      <c r="E224" s="1" t="s">
        <v>1040</v>
      </c>
      <c r="F224" s="1" t="s">
        <v>1041</v>
      </c>
      <c r="G224" s="1" t="s">
        <v>1041</v>
      </c>
      <c r="H224" s="1" t="s">
        <v>1042</v>
      </c>
      <c r="I224" s="1" t="s">
        <v>15</v>
      </c>
      <c r="J224" s="1" t="s">
        <v>185</v>
      </c>
      <c r="K224" t="s">
        <v>1043</v>
      </c>
      <c r="L224">
        <v>65706765</v>
      </c>
      <c r="M224" s="3">
        <v>514000</v>
      </c>
      <c r="N224">
        <v>1500000000</v>
      </c>
      <c r="O224">
        <v>10000000000</v>
      </c>
      <c r="P224">
        <v>546224</v>
      </c>
    </row>
    <row r="225" spans="1:16" x14ac:dyDescent="0.25">
      <c r="A225" s="1" t="s">
        <v>1052</v>
      </c>
      <c r="B225" s="1" t="s">
        <v>1286</v>
      </c>
      <c r="C225" s="1"/>
      <c r="D225" s="1" t="s">
        <v>1229</v>
      </c>
      <c r="E225" s="1" t="s">
        <v>1053</v>
      </c>
      <c r="F225" s="1" t="s">
        <v>1054</v>
      </c>
      <c r="G225" s="1" t="s">
        <v>1072</v>
      </c>
      <c r="H225" s="1" t="s">
        <v>1055</v>
      </c>
      <c r="I225" s="1" t="s">
        <v>15</v>
      </c>
      <c r="J225" s="1" t="s">
        <v>185</v>
      </c>
      <c r="K225" t="s">
        <v>1056</v>
      </c>
      <c r="L225">
        <v>1391221</v>
      </c>
      <c r="M225" s="3">
        <v>15007</v>
      </c>
      <c r="N225">
        <v>-883333333</v>
      </c>
      <c r="O225">
        <v>12591666666</v>
      </c>
      <c r="P225">
        <v>2115</v>
      </c>
    </row>
    <row r="226" spans="1:16" x14ac:dyDescent="0.25">
      <c r="A226" s="1" t="s">
        <v>1057</v>
      </c>
      <c r="B226" s="1"/>
      <c r="C226" s="1"/>
      <c r="D226" s="1" t="s">
        <v>1293</v>
      </c>
      <c r="E226" s="1" t="s">
        <v>1058</v>
      </c>
      <c r="F226" s="1" t="s">
        <v>1059</v>
      </c>
      <c r="G226" s="1" t="s">
        <v>1067</v>
      </c>
      <c r="H226" s="1" t="s">
        <v>1230</v>
      </c>
      <c r="I226" s="1" t="s">
        <v>33</v>
      </c>
      <c r="J226" s="1" t="s">
        <v>141</v>
      </c>
      <c r="K226" t="s">
        <v>1060</v>
      </c>
      <c r="L226">
        <v>8095498</v>
      </c>
      <c r="M226" s="3">
        <v>56785</v>
      </c>
      <c r="N226">
        <v>800000000</v>
      </c>
      <c r="O226">
        <v>116666666</v>
      </c>
      <c r="P226">
        <v>10023</v>
      </c>
    </row>
    <row r="227" spans="1:16" x14ac:dyDescent="0.25">
      <c r="A227" s="1" t="s">
        <v>1061</v>
      </c>
      <c r="B227" s="1" t="s">
        <v>1188</v>
      </c>
      <c r="C227" s="1" t="s">
        <v>1204</v>
      </c>
      <c r="D227" s="1"/>
      <c r="E227" s="1" t="s">
        <v>1062</v>
      </c>
      <c r="F227" s="1" t="s">
        <v>1063</v>
      </c>
      <c r="G227" s="1" t="s">
        <v>1054</v>
      </c>
      <c r="H227" s="1" t="e">
        <f>NA()</f>
        <v>#N/A</v>
      </c>
      <c r="I227" s="1" t="s">
        <v>40</v>
      </c>
      <c r="J227" s="1" t="s">
        <v>41</v>
      </c>
      <c r="K227" t="s">
        <v>1064</v>
      </c>
      <c r="L227">
        <v>2691</v>
      </c>
      <c r="M227" s="3">
        <v>10</v>
      </c>
      <c r="N227">
        <v>-900000000</v>
      </c>
      <c r="O227">
        <v>-17200000000</v>
      </c>
    </row>
    <row r="228" spans="1:16" x14ac:dyDescent="0.25">
      <c r="A228" s="1" t="s">
        <v>1065</v>
      </c>
      <c r="B228" s="1" t="s">
        <v>1261</v>
      </c>
      <c r="C228" s="1"/>
      <c r="D228" s="1"/>
      <c r="E228" s="1" t="s">
        <v>1066</v>
      </c>
      <c r="F228" s="1" t="s">
        <v>1067</v>
      </c>
      <c r="G228" s="1" t="s">
        <v>1077</v>
      </c>
      <c r="H228" s="1" t="s">
        <v>1068</v>
      </c>
      <c r="I228" s="1" t="s">
        <v>40</v>
      </c>
      <c r="J228" s="1" t="s">
        <v>41</v>
      </c>
      <c r="K228" t="s">
        <v>1069</v>
      </c>
      <c r="L228">
        <v>100179</v>
      </c>
      <c r="M228" s="3">
        <v>748</v>
      </c>
      <c r="N228">
        <v>-2000000000</v>
      </c>
      <c r="O228">
        <v>-17500000000</v>
      </c>
      <c r="P228">
        <v>568</v>
      </c>
    </row>
    <row r="229" spans="1:16" x14ac:dyDescent="0.25">
      <c r="A229" s="1" t="s">
        <v>1070</v>
      </c>
      <c r="B229" s="1" t="s">
        <v>1263</v>
      </c>
      <c r="C229" s="1"/>
      <c r="D229" s="1"/>
      <c r="E229" s="1" t="s">
        <v>1071</v>
      </c>
      <c r="F229" s="1" t="s">
        <v>1072</v>
      </c>
      <c r="G229" s="1" t="s">
        <v>231</v>
      </c>
      <c r="H229" s="1" t="s">
        <v>1073</v>
      </c>
      <c r="I229" s="1" t="s">
        <v>58</v>
      </c>
      <c r="J229" s="1" t="s">
        <v>59</v>
      </c>
      <c r="K229" t="s">
        <v>1074</v>
      </c>
      <c r="L229">
        <v>1367764</v>
      </c>
      <c r="M229" s="3">
        <v>5128</v>
      </c>
      <c r="N229">
        <v>1100000000</v>
      </c>
      <c r="O229">
        <v>-6100000000</v>
      </c>
      <c r="P229">
        <v>26467</v>
      </c>
    </row>
    <row r="230" spans="1:16" x14ac:dyDescent="0.25">
      <c r="A230" s="1" t="s">
        <v>1075</v>
      </c>
      <c r="B230" s="1" t="s">
        <v>1263</v>
      </c>
      <c r="C230" s="1"/>
      <c r="D230" s="1"/>
      <c r="E230" s="1" t="s">
        <v>1076</v>
      </c>
      <c r="F230" s="1" t="s">
        <v>1077</v>
      </c>
      <c r="G230" s="1" t="s">
        <v>1437</v>
      </c>
      <c r="H230" s="1" t="s">
        <v>1078</v>
      </c>
      <c r="I230" s="1" t="s">
        <v>33</v>
      </c>
      <c r="J230" s="1" t="s">
        <v>34</v>
      </c>
      <c r="K230" t="s">
        <v>1079</v>
      </c>
      <c r="L230">
        <v>11972169</v>
      </c>
      <c r="M230" s="3">
        <v>163610</v>
      </c>
      <c r="N230">
        <v>3400000000</v>
      </c>
      <c r="O230">
        <v>900000000</v>
      </c>
      <c r="P230">
        <v>56291</v>
      </c>
    </row>
    <row r="231" spans="1:16" x14ac:dyDescent="0.25">
      <c r="A231" s="1" t="s">
        <v>1215</v>
      </c>
      <c r="B231" s="1" t="s">
        <v>1263</v>
      </c>
      <c r="C231" s="1"/>
      <c r="D231" s="1" t="s">
        <v>1080</v>
      </c>
      <c r="E231" s="1" t="s">
        <v>1081</v>
      </c>
      <c r="F231" s="1" t="s">
        <v>1082</v>
      </c>
      <c r="G231" s="1" t="s">
        <v>1438</v>
      </c>
      <c r="H231" s="1" t="s">
        <v>1083</v>
      </c>
      <c r="I231" s="1" t="s">
        <v>15</v>
      </c>
      <c r="J231" s="1" t="s">
        <v>81</v>
      </c>
      <c r="K231" t="s">
        <v>1084</v>
      </c>
      <c r="L231">
        <v>86092168</v>
      </c>
      <c r="M231" s="3">
        <v>780580</v>
      </c>
      <c r="N231">
        <v>3900000000</v>
      </c>
      <c r="O231">
        <v>3500000000</v>
      </c>
      <c r="P231">
        <v>1437406</v>
      </c>
    </row>
    <row r="232" spans="1:16" x14ac:dyDescent="0.25">
      <c r="A232" s="1" t="s">
        <v>1085</v>
      </c>
      <c r="B232" s="1"/>
      <c r="C232" s="1"/>
      <c r="D232" s="1"/>
      <c r="E232" s="1" t="s">
        <v>1086</v>
      </c>
      <c r="F232" s="1" t="s">
        <v>1087</v>
      </c>
      <c r="G232" s="1" t="s">
        <v>1439</v>
      </c>
      <c r="H232" s="1" t="s">
        <v>1088</v>
      </c>
      <c r="I232" s="1" t="s">
        <v>15</v>
      </c>
      <c r="J232" s="1" t="s">
        <v>552</v>
      </c>
      <c r="K232" t="s">
        <v>1089</v>
      </c>
      <c r="L232">
        <v>7057841</v>
      </c>
      <c r="M232" s="3">
        <v>488100</v>
      </c>
      <c r="N232">
        <v>4000000000</v>
      </c>
      <c r="O232">
        <v>6000000000</v>
      </c>
      <c r="P232">
        <v>89054</v>
      </c>
    </row>
    <row r="233" spans="1:16" x14ac:dyDescent="0.25">
      <c r="A233" s="1" t="s">
        <v>1090</v>
      </c>
      <c r="B233" s="1" t="s">
        <v>1188</v>
      </c>
      <c r="C233" s="1"/>
      <c r="D233" s="1"/>
      <c r="E233" s="1" t="s">
        <v>1091</v>
      </c>
      <c r="F233" s="1" t="s">
        <v>1092</v>
      </c>
      <c r="G233" s="1" t="s">
        <v>1063</v>
      </c>
      <c r="H233" s="1" t="s">
        <v>1093</v>
      </c>
      <c r="I233" s="1" t="s">
        <v>58</v>
      </c>
      <c r="J233" s="1" t="s">
        <v>59</v>
      </c>
      <c r="K233" t="s">
        <v>1231</v>
      </c>
      <c r="L233">
        <v>50828</v>
      </c>
      <c r="M233" s="3">
        <v>430</v>
      </c>
      <c r="N233">
        <v>2175000000</v>
      </c>
      <c r="O233">
        <v>-7158333333</v>
      </c>
    </row>
    <row r="234" spans="1:16" x14ac:dyDescent="0.25">
      <c r="A234" s="1" t="s">
        <v>1094</v>
      </c>
      <c r="B234" s="1"/>
      <c r="C234" s="1"/>
      <c r="D234" s="1"/>
      <c r="E234" s="1" t="s">
        <v>1095</v>
      </c>
      <c r="F234" s="1" t="s">
        <v>1096</v>
      </c>
      <c r="G234" s="1" t="s">
        <v>1096</v>
      </c>
      <c r="H234" s="1" t="s">
        <v>1097</v>
      </c>
      <c r="I234" s="1" t="s">
        <v>40</v>
      </c>
      <c r="J234" s="1" t="s">
        <v>41</v>
      </c>
      <c r="K234" t="s">
        <v>1098</v>
      </c>
      <c r="L234">
        <v>10643</v>
      </c>
      <c r="M234" s="3">
        <v>26</v>
      </c>
      <c r="N234">
        <v>-800000000</v>
      </c>
      <c r="O234">
        <v>17800000000</v>
      </c>
      <c r="P234">
        <v>65</v>
      </c>
    </row>
    <row r="235" spans="1:16" x14ac:dyDescent="0.25">
      <c r="A235" s="1" t="s">
        <v>1099</v>
      </c>
      <c r="B235" s="1" t="s">
        <v>1263</v>
      </c>
      <c r="C235" s="1"/>
      <c r="D235" s="1"/>
      <c r="E235" s="1" t="s">
        <v>1100</v>
      </c>
      <c r="F235" s="1" t="s">
        <v>1101</v>
      </c>
      <c r="G235" s="1" t="s">
        <v>1101</v>
      </c>
      <c r="H235" s="1" t="s">
        <v>1102</v>
      </c>
      <c r="I235" s="1" t="s">
        <v>33</v>
      </c>
      <c r="J235" s="1" t="s">
        <v>180</v>
      </c>
      <c r="K235" t="s">
        <v>1103</v>
      </c>
      <c r="L235">
        <v>45905417</v>
      </c>
      <c r="M235" s="3">
        <v>236040</v>
      </c>
      <c r="N235">
        <v>100000000</v>
      </c>
      <c r="O235">
        <v>3200000000</v>
      </c>
      <c r="P235">
        <v>64277</v>
      </c>
    </row>
    <row r="236" spans="1:16" x14ac:dyDescent="0.25">
      <c r="A236" s="1" t="s">
        <v>1104</v>
      </c>
      <c r="B236" s="1"/>
      <c r="C236" s="1"/>
      <c r="D236" s="1"/>
      <c r="E236" s="1" t="s">
        <v>1105</v>
      </c>
      <c r="F236" s="1" t="s">
        <v>1106</v>
      </c>
      <c r="G236" s="1" t="s">
        <v>1440</v>
      </c>
      <c r="H236" s="1" t="s">
        <v>1107</v>
      </c>
      <c r="I236" s="1" t="s">
        <v>21</v>
      </c>
      <c r="J236" s="1" t="s">
        <v>124</v>
      </c>
      <c r="K236" t="s">
        <v>1108</v>
      </c>
      <c r="L236">
        <v>28700000</v>
      </c>
      <c r="M236" s="3">
        <v>603700</v>
      </c>
      <c r="N236">
        <v>4900000000</v>
      </c>
      <c r="O236">
        <v>3200000000</v>
      </c>
      <c r="P236">
        <v>205742</v>
      </c>
    </row>
    <row r="237" spans="1:16" x14ac:dyDescent="0.25">
      <c r="A237" s="1" t="s">
        <v>1109</v>
      </c>
      <c r="B237" s="1" t="s">
        <v>1188</v>
      </c>
      <c r="C237" s="1"/>
      <c r="D237" s="1" t="s">
        <v>1369</v>
      </c>
      <c r="E237" s="1" t="s">
        <v>1110</v>
      </c>
      <c r="F237" s="1" t="s">
        <v>1111</v>
      </c>
      <c r="G237" s="1" t="s">
        <v>1111</v>
      </c>
      <c r="H237" s="1" t="s">
        <v>1112</v>
      </c>
      <c r="I237" s="1" t="s">
        <v>15</v>
      </c>
      <c r="J237" s="1" t="s">
        <v>81</v>
      </c>
      <c r="K237" t="s">
        <v>1113</v>
      </c>
      <c r="L237">
        <v>11294243</v>
      </c>
      <c r="M237">
        <v>83600</v>
      </c>
    </row>
    <row r="238" spans="1:16" x14ac:dyDescent="0.25">
      <c r="A238" s="1" t="s">
        <v>1114</v>
      </c>
      <c r="B238" s="1" t="s">
        <v>1188</v>
      </c>
      <c r="C238" s="1" t="s">
        <v>1324</v>
      </c>
      <c r="D238" s="1" t="s">
        <v>1325</v>
      </c>
      <c r="E238" s="1" t="s">
        <v>1115</v>
      </c>
      <c r="F238" s="1" t="s">
        <v>1116</v>
      </c>
      <c r="G238" s="1" t="s">
        <v>1447</v>
      </c>
      <c r="H238" s="1" t="s">
        <v>1117</v>
      </c>
      <c r="I238" s="1" t="s">
        <v>21</v>
      </c>
      <c r="J238" s="1" t="s">
        <v>22</v>
      </c>
      <c r="K238" t="s">
        <v>1118</v>
      </c>
      <c r="L238">
        <v>69487000</v>
      </c>
      <c r="M238">
        <v>244376</v>
      </c>
    </row>
    <row r="239" spans="1:16" x14ac:dyDescent="0.25">
      <c r="A239" s="1" t="s">
        <v>1119</v>
      </c>
      <c r="B239" s="1" t="s">
        <v>1188</v>
      </c>
      <c r="C239" s="1" t="s">
        <v>1217</v>
      </c>
      <c r="D239" s="1" t="s">
        <v>1120</v>
      </c>
      <c r="E239" s="1" t="s">
        <v>1120</v>
      </c>
      <c r="F239" s="1" t="s">
        <v>1121</v>
      </c>
      <c r="G239" s="1" t="s">
        <v>1121</v>
      </c>
      <c r="H239" s="1" t="s">
        <v>1225</v>
      </c>
      <c r="I239" s="1" t="s">
        <v>58</v>
      </c>
      <c r="J239" s="1" t="s">
        <v>147</v>
      </c>
      <c r="K239" t="s">
        <v>1122</v>
      </c>
      <c r="L239">
        <v>341784857</v>
      </c>
      <c r="M239" s="3">
        <v>9629091</v>
      </c>
      <c r="N239">
        <v>3800000000</v>
      </c>
      <c r="O239">
        <v>-9700000000</v>
      </c>
      <c r="P239">
        <v>30507217</v>
      </c>
    </row>
    <row r="240" spans="1:16" x14ac:dyDescent="0.25">
      <c r="A240" s="1" t="s">
        <v>1123</v>
      </c>
      <c r="B240" s="1" t="s">
        <v>1188</v>
      </c>
      <c r="C240" s="1"/>
      <c r="D240" s="1"/>
      <c r="E240" s="1" t="s">
        <v>1124</v>
      </c>
      <c r="F240" s="1" t="s">
        <v>1125</v>
      </c>
      <c r="G240" s="1" t="s">
        <v>1125</v>
      </c>
      <c r="H240" s="1" t="e">
        <f>NA()</f>
        <v>#N/A</v>
      </c>
      <c r="I240" s="1" t="s">
        <v>58</v>
      </c>
      <c r="J240" s="1" t="s">
        <v>147</v>
      </c>
      <c r="K240" t="s">
        <v>1122</v>
      </c>
      <c r="L240">
        <v>300</v>
      </c>
      <c r="M240">
        <v>49</v>
      </c>
      <c r="N240">
        <v>0</v>
      </c>
      <c r="O240">
        <v>0</v>
      </c>
    </row>
    <row r="241" spans="1:16" x14ac:dyDescent="0.25">
      <c r="A241" s="1" t="s">
        <v>1220</v>
      </c>
      <c r="B241" s="1" t="s">
        <v>1188</v>
      </c>
      <c r="C241" s="1"/>
      <c r="D241" s="1" t="s">
        <v>1300</v>
      </c>
      <c r="E241" s="1" t="s">
        <v>1158</v>
      </c>
      <c r="F241" s="1" t="s">
        <v>1159</v>
      </c>
      <c r="G241" s="1" t="s">
        <v>1441</v>
      </c>
      <c r="H241" s="1" t="s">
        <v>1160</v>
      </c>
      <c r="I241" s="1" t="s">
        <v>58</v>
      </c>
      <c r="J241" s="1" t="s">
        <v>59</v>
      </c>
      <c r="K241" t="s">
        <v>1224</v>
      </c>
      <c r="L241">
        <v>87146</v>
      </c>
      <c r="M241" s="3">
        <v>352</v>
      </c>
      <c r="N241">
        <v>1834000000</v>
      </c>
      <c r="O241">
        <v>-6493000000</v>
      </c>
    </row>
    <row r="242" spans="1:16" x14ac:dyDescent="0.25">
      <c r="A242" s="1" t="s">
        <v>1126</v>
      </c>
      <c r="B242" s="1" t="s">
        <v>1296</v>
      </c>
      <c r="C242" s="1"/>
      <c r="D242" s="1"/>
      <c r="E242" s="1" t="s">
        <v>1127</v>
      </c>
      <c r="F242" s="1" t="s">
        <v>1128</v>
      </c>
      <c r="G242" s="1" t="s">
        <v>1128</v>
      </c>
      <c r="H242" s="1" t="s">
        <v>1129</v>
      </c>
      <c r="I242" s="1" t="s">
        <v>58</v>
      </c>
      <c r="J242" s="1" t="s">
        <v>75</v>
      </c>
      <c r="K242" t="s">
        <v>1130</v>
      </c>
      <c r="L242">
        <v>3485931</v>
      </c>
      <c r="M242" s="3">
        <v>176220</v>
      </c>
      <c r="N242">
        <v>-3300000000</v>
      </c>
      <c r="O242">
        <v>-5600000000</v>
      </c>
      <c r="P242">
        <v>79731</v>
      </c>
    </row>
    <row r="243" spans="1:16" x14ac:dyDescent="0.25">
      <c r="A243" s="1" t="s">
        <v>1131</v>
      </c>
      <c r="B243" s="1" t="s">
        <v>1263</v>
      </c>
      <c r="C243" s="1"/>
      <c r="D243" s="1"/>
      <c r="E243" s="1" t="s">
        <v>1132</v>
      </c>
      <c r="F243" s="1" t="s">
        <v>1133</v>
      </c>
      <c r="G243" s="1" t="s">
        <v>1133</v>
      </c>
      <c r="H243" s="1" t="s">
        <v>1134</v>
      </c>
      <c r="I243" s="1" t="s">
        <v>15</v>
      </c>
      <c r="J243" s="1" t="s">
        <v>552</v>
      </c>
      <c r="K243" t="s">
        <v>1135</v>
      </c>
      <c r="L243">
        <v>39047321</v>
      </c>
      <c r="M243">
        <v>448978</v>
      </c>
    </row>
    <row r="244" spans="1:16" x14ac:dyDescent="0.25">
      <c r="A244" s="1" t="s">
        <v>1136</v>
      </c>
      <c r="B244" s="1" t="s">
        <v>1263</v>
      </c>
      <c r="C244" s="1"/>
      <c r="D244" s="1"/>
      <c r="E244" s="1" t="s">
        <v>1137</v>
      </c>
      <c r="F244" s="1" t="s">
        <v>1138</v>
      </c>
      <c r="G244" s="1" t="s">
        <v>1446</v>
      </c>
      <c r="H244" s="1" t="s">
        <v>1139</v>
      </c>
      <c r="I244" s="1" t="s">
        <v>40</v>
      </c>
      <c r="J244" s="1" t="s">
        <v>371</v>
      </c>
      <c r="K244" t="s">
        <v>1140</v>
      </c>
      <c r="L244">
        <v>321409</v>
      </c>
      <c r="M244">
        <v>12189</v>
      </c>
    </row>
    <row r="245" spans="1:16" x14ac:dyDescent="0.25">
      <c r="A245" s="1" t="s">
        <v>1145</v>
      </c>
      <c r="B245" s="1" t="s">
        <v>1298</v>
      </c>
      <c r="C245" s="1"/>
      <c r="D245" s="1"/>
      <c r="E245" s="1" t="s">
        <v>1146</v>
      </c>
      <c r="F245" s="1" t="s">
        <v>1147</v>
      </c>
      <c r="G245" s="1" t="s">
        <v>1147</v>
      </c>
      <c r="H245" s="1" t="s">
        <v>1148</v>
      </c>
      <c r="I245" s="1" t="s">
        <v>58</v>
      </c>
      <c r="J245" s="1" t="s">
        <v>75</v>
      </c>
      <c r="K245" t="s">
        <v>1149</v>
      </c>
      <c r="L245">
        <v>28517000</v>
      </c>
      <c r="M245" s="3">
        <v>912050</v>
      </c>
      <c r="N245">
        <v>800000000</v>
      </c>
      <c r="O245">
        <v>-6600000000</v>
      </c>
      <c r="P245">
        <v>108511</v>
      </c>
    </row>
    <row r="246" spans="1:16" x14ac:dyDescent="0.25">
      <c r="A246" s="1" t="s">
        <v>1150</v>
      </c>
      <c r="B246" s="1"/>
      <c r="C246" s="1"/>
      <c r="D246" s="1" t="s">
        <v>1301</v>
      </c>
      <c r="E246" s="1" t="s">
        <v>1151</v>
      </c>
      <c r="F246" s="1" t="s">
        <v>1152</v>
      </c>
      <c r="G246" s="1" t="s">
        <v>1442</v>
      </c>
      <c r="H246" s="1" t="s">
        <v>1153</v>
      </c>
      <c r="I246" s="1" t="s">
        <v>15</v>
      </c>
      <c r="J246" s="1" t="s">
        <v>185</v>
      </c>
      <c r="K246" t="s">
        <v>1154</v>
      </c>
      <c r="L246">
        <v>102300000</v>
      </c>
      <c r="M246" s="3">
        <v>329560</v>
      </c>
      <c r="N246">
        <v>1616666666</v>
      </c>
      <c r="O246">
        <v>10783333333</v>
      </c>
      <c r="P246">
        <v>490970</v>
      </c>
    </row>
    <row r="247" spans="1:16" x14ac:dyDescent="0.25">
      <c r="A247" s="1" t="s">
        <v>1164</v>
      </c>
      <c r="B247" s="1" t="s">
        <v>1188</v>
      </c>
      <c r="C247" s="1" t="s">
        <v>1204</v>
      </c>
      <c r="D247" s="1" t="s">
        <v>1302</v>
      </c>
      <c r="E247" s="1" t="s">
        <v>1161</v>
      </c>
      <c r="F247" s="1" t="s">
        <v>1162</v>
      </c>
      <c r="G247" s="1" t="s">
        <v>1162</v>
      </c>
      <c r="H247" s="1" t="s">
        <v>1163</v>
      </c>
      <c r="I247" s="1" t="s">
        <v>40</v>
      </c>
      <c r="J247" s="1" t="s">
        <v>41</v>
      </c>
      <c r="K247" t="s">
        <v>1228</v>
      </c>
      <c r="L247">
        <v>11620</v>
      </c>
      <c r="M247">
        <v>142</v>
      </c>
    </row>
    <row r="248" spans="1:16" x14ac:dyDescent="0.25">
      <c r="A248" s="1" t="s">
        <v>1165</v>
      </c>
      <c r="B248" s="1"/>
      <c r="C248" s="1"/>
      <c r="D248" s="1" t="s">
        <v>1334</v>
      </c>
      <c r="E248" s="1" t="s">
        <v>1166</v>
      </c>
      <c r="F248" s="1" t="s">
        <v>1167</v>
      </c>
      <c r="G248" s="1" t="s">
        <v>1443</v>
      </c>
      <c r="H248" s="1" t="s">
        <v>1335</v>
      </c>
      <c r="I248" s="1" t="s">
        <v>33</v>
      </c>
      <c r="J248" s="1" t="s">
        <v>34</v>
      </c>
      <c r="K248" t="s">
        <v>1168</v>
      </c>
      <c r="L248">
        <v>600904</v>
      </c>
      <c r="M248">
        <v>272000</v>
      </c>
    </row>
    <row r="249" spans="1:16" x14ac:dyDescent="0.25">
      <c r="A249" s="1" t="s">
        <v>1169</v>
      </c>
      <c r="B249" s="1" t="s">
        <v>1263</v>
      </c>
      <c r="C249" s="1"/>
      <c r="D249" s="1"/>
      <c r="E249" s="1" t="s">
        <v>1170</v>
      </c>
      <c r="F249" s="1" t="s">
        <v>1171</v>
      </c>
      <c r="G249" s="1" t="s">
        <v>1444</v>
      </c>
      <c r="H249" s="1" t="s">
        <v>1172</v>
      </c>
      <c r="I249" s="1" t="s">
        <v>15</v>
      </c>
      <c r="J249" s="1" t="s">
        <v>81</v>
      </c>
      <c r="K249" t="s">
        <v>1173</v>
      </c>
      <c r="L249">
        <v>32684503</v>
      </c>
      <c r="M249" s="3">
        <v>527970</v>
      </c>
      <c r="N249">
        <v>1500000000</v>
      </c>
      <c r="O249">
        <v>4800000000</v>
      </c>
      <c r="P249">
        <v>17401</v>
      </c>
    </row>
    <row r="250" spans="1:16" x14ac:dyDescent="0.25">
      <c r="A250" s="1" t="s">
        <v>1174</v>
      </c>
      <c r="B250" s="1" t="s">
        <v>1263</v>
      </c>
      <c r="C250" s="1"/>
      <c r="D250" s="1"/>
      <c r="E250" s="1" t="s">
        <v>1175</v>
      </c>
      <c r="F250" s="1" t="s">
        <v>1176</v>
      </c>
      <c r="G250" s="1" t="s">
        <v>970</v>
      </c>
      <c r="H250" s="1" t="s">
        <v>1177</v>
      </c>
      <c r="I250" s="1" t="s">
        <v>33</v>
      </c>
      <c r="J250" s="1" t="s">
        <v>168</v>
      </c>
      <c r="K250" t="s">
        <v>1178</v>
      </c>
      <c r="L250">
        <v>19693423</v>
      </c>
      <c r="M250" s="3">
        <v>752614</v>
      </c>
      <c r="N250">
        <v>-1500000000</v>
      </c>
      <c r="O250">
        <v>3000000000</v>
      </c>
      <c r="P250">
        <v>28910</v>
      </c>
    </row>
    <row r="251" spans="1:16" x14ac:dyDescent="0.25">
      <c r="A251" s="1" t="s">
        <v>1179</v>
      </c>
      <c r="B251" s="1" t="s">
        <v>1263</v>
      </c>
      <c r="C251" s="1"/>
      <c r="D251" s="1"/>
      <c r="E251" s="1" t="s">
        <v>1180</v>
      </c>
      <c r="F251" s="1" t="s">
        <v>1181</v>
      </c>
      <c r="G251" s="1" t="s">
        <v>1445</v>
      </c>
      <c r="H251" s="1" t="s">
        <v>1182</v>
      </c>
      <c r="I251" s="1" t="s">
        <v>33</v>
      </c>
      <c r="J251" s="1" t="s">
        <v>180</v>
      </c>
      <c r="K251" t="s">
        <v>1183</v>
      </c>
      <c r="L251">
        <v>17073087</v>
      </c>
      <c r="M251" s="3">
        <v>390757</v>
      </c>
      <c r="N251">
        <v>-2000000000</v>
      </c>
      <c r="O251">
        <v>3000000000</v>
      </c>
      <c r="P251">
        <v>38172</v>
      </c>
    </row>
  </sheetData>
  <autoFilter ref="A1:P251" xr:uid="{368351F5-51F3-4426-9005-29646C2C6671}">
    <sortState xmlns:xlrd2="http://schemas.microsoft.com/office/spreadsheetml/2017/richdata2" ref="A2:P251">
      <sortCondition ref="A1:A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Sonnemans</dc:creator>
  <cp:lastModifiedBy>Sonnemans, R.C. (Rowan, Student M-CEM)</cp:lastModifiedBy>
  <dcterms:created xsi:type="dcterms:W3CDTF">2026-07-25T20:00:37Z</dcterms:created>
  <dcterms:modified xsi:type="dcterms:W3CDTF">2026-07-27T23:15:06Z</dcterms:modified>
</cp:coreProperties>
</file>